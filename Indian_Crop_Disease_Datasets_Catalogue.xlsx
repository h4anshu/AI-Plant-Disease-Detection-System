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Dataset Catalogue" sheetId="3" state="visible" r:id="rId5"/>
    <sheet name="Context Data Sources" sheetId="4" state="visible" r:id="rId6"/>
    <sheet name="Setup Steps" sheetId="5" state="visible" r:id="rId7"/>
    <sheet name="Leads to Verify" sheetId="6" state="visible" r:id="rId8"/>
    <sheet name="All Sources" sheetId="7" state="visible" r:id="rId9"/>
  </sheets>
  <definedNames>
    <definedName function="false" hidden="true" localSheetId="6" name="_xlnm._FilterDatabase" vbProcedure="false">'All Sources'!$A$1:$E$101</definedName>
    <definedName function="false" hidden="true" localSheetId="3" name="_xlnm._FilterDatabase" vbProcedure="false">'Context Data Sources'!$A$1:$S$14</definedName>
    <definedName function="false" hidden="true" localSheetId="2" name="_xlnm._FilterDatabase" vbProcedure="false">'Dataset Catalogue'!$A$1:$Q$34</definedName>
    <definedName function="false" hidden="true" localSheetId="5" name="_xlnm._FilterDatabase" vbProcedure="false">'Leads to Verify'!$A$1:$F$30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<sst xmlns="http://schemas.openxmlformats.org/spreadsheetml/2006/main" count="1490" uniqueCount="816">
  <si>
    <t xml:space="preserve">Indian Crop Leaf Disease Datasets - Source Catalogue</t>
  </si>
  <si>
    <t xml:space="preserve">Research for the AI Plant Disease Detection System data expansion. Compiled 25 Sep 2026.</t>
  </si>
  <si>
    <t xml:space="preserve">Sheets</t>
  </si>
  <si>
    <t xml:space="preserve">Dataset Catalogue</t>
  </si>
  <si>
    <t xml:space="preserve">One row per dataset: crop, location, classes, image count, licence, clickable download and paper links, verification status and fit notes.</t>
  </si>
  <si>
    <t xml:space="preserve">Summary</t>
  </si>
  <si>
    <t xml:space="preserve">Live counts by tier and by crop (formulas over the catalogue).</t>
  </si>
  <si>
    <t xml:space="preserve">Leads to Verify</t>
  </si>
  <si>
    <t xml:space="preserve">Datasets found by title only; not yet checked. Each has a clickable link and a next step.</t>
  </si>
  <si>
    <t xml:space="preserve">All Sources</t>
  </si>
  <si>
    <t xml:space="preserve">Every URL used in this research, clickable, with its type.</t>
  </si>
  <si>
    <t xml:space="preserve">Context Data Sources</t>
  </si>
  <si>
    <t xml:space="preserve">Free weather, soil, satellite, land-cover and disease-rule sources (added 26 Sep 2026): what each gives, licence, commercial use, and whether Claude Code can automate it.</t>
  </si>
  <si>
    <t xml:space="preserve">Setup Steps</t>
  </si>
  <si>
    <t xml:space="preserve">One-time manual steps (accounts, keys, expert review) needed before Claude Code can automate the context sources.</t>
  </si>
  <si>
    <t xml:space="preserve">Priority tiers</t>
  </si>
  <si>
    <t xml:space="preserve">Tier 1</t>
  </si>
  <si>
    <t xml:space="preserve">Collected in India, field photos, Healthy class, public download. Recommended for new crop heads.</t>
  </si>
  <si>
    <t xml:space="preserve">Tier 2</t>
  </si>
  <si>
    <t xml:space="preserve">Collected in Bangladesh (same climate and diseases). Use as test sets or backup; domain shift risk.</t>
  </si>
  <si>
    <t xml:space="preserve">Expand existing</t>
  </si>
  <si>
    <t xml:space="preserve">More data or classes for crops already in the model (rice, sugarcane).</t>
  </si>
  <si>
    <t xml:space="preserve">Not usable / gap</t>
  </si>
  <si>
    <t xml:space="preserve">Missing Healthy class, not downloadable, too small, wrong plant part, or no provenance.</t>
  </si>
  <si>
    <t xml:space="preserve">Verification status</t>
  </si>
  <si>
    <t xml:space="preserve">Verified</t>
  </si>
  <si>
    <t xml:space="preserve">Classes, location and size read directly from the dataset page or paper.</t>
  </si>
  <si>
    <t xml:space="preserve">Partial</t>
  </si>
  <si>
    <t xml:space="preserve">Some fields (usually per-class counts or licence) were not listed on the page.</t>
  </si>
  <si>
    <t xml:space="preserve">Not verified</t>
  </si>
  <si>
    <t xml:space="preserve">Page was blocked (403 / rate limit) during research; open the link manually before use.</t>
  </si>
  <si>
    <t xml:space="preserve">Selection rules applied</t>
  </si>
  <si>
    <t xml:space="preserve">1. Healthy class</t>
  </si>
  <si>
    <t xml:space="preserve">Required, following the project's earlier decision to drop chickpea (FUSARIUM-22).</t>
  </si>
  <si>
    <t xml:space="preserve">2. One source per head</t>
  </si>
  <si>
    <t xml:space="preserve">Don't mix sources inside a crop unless every class has images from each source (YR-19 lesson). Run Grad-CAM after any merge.</t>
  </si>
  <si>
    <t xml:space="preserve">3. Backgrounds</t>
  </si>
  <si>
    <t xml:space="preserve">Reject or test-only any dataset shot on plain white or dark backgrounds.</t>
  </si>
  <si>
    <t xml:space="preserve">4. Licence</t>
  </si>
  <si>
    <t xml:space="preserve">Most sets are CC BY-NC: fine for academic / demo use; commercial launch needs author permission. CC BY-NC-ND: do not redistribute modified images.</t>
  </si>
  <si>
    <t xml:space="preserve">5. Raw over augmented</t>
  </si>
  <si>
    <t xml:space="preserve">Download raw images only; the pipeline applies its own augmentation.</t>
  </si>
  <si>
    <t xml:space="preserve">All figures are formulas over the Dataset Catalogue sheet and update if it is edited.</t>
  </si>
  <si>
    <t xml:space="preserve">Priority Tier</t>
  </si>
  <si>
    <t xml:space="preserve">Datasets</t>
  </si>
  <si>
    <t xml:space="preserve">Images (published counts)</t>
  </si>
  <si>
    <t xml:space="preserve">Total</t>
  </si>
  <si>
    <t xml:space="preserve">New crops available (Tier 1 = India, Tier 2 = Bangladesh backup)</t>
  </si>
  <si>
    <t xml:space="preserve">Crop</t>
  </si>
  <si>
    <t xml:space="preserve">Tier 1 datasets</t>
  </si>
  <si>
    <t xml:space="preserve">Tier 2 datasets</t>
  </si>
  <si>
    <t xml:space="preserve">Tier 1 images (published)</t>
  </si>
  <si>
    <t xml:space="preserve">Best starting dataset</t>
  </si>
  <si>
    <t xml:space="preserve">Chilli</t>
  </si>
  <si>
    <t xml:space="preserve">COLD - Chilli (Karnataka)</t>
  </si>
  <si>
    <t xml:space="preserve">Onion</t>
  </si>
  <si>
    <t xml:space="preserve">COLD - Onion (Karnataka)</t>
  </si>
  <si>
    <t xml:space="preserve">Tea</t>
  </si>
  <si>
    <t xml:space="preserve">CS-D (Assam)</t>
  </si>
  <si>
    <t xml:space="preserve">Soybean</t>
  </si>
  <si>
    <t xml:space="preserve">MH-SoyaHealthVision (Maharashtra)</t>
  </si>
  <si>
    <t xml:space="preserve">Apple</t>
  </si>
  <si>
    <t xml:space="preserve">Indigenous Apple (J&amp;K)</t>
  </si>
  <si>
    <t xml:space="preserve">Grape</t>
  </si>
  <si>
    <t xml:space="preserve">NGLD (Nashik)</t>
  </si>
  <si>
    <t xml:space="preserve">Banana</t>
  </si>
  <si>
    <t xml:space="preserve">Multi-Crop Disease Dataset (Tamil Nadu)</t>
  </si>
  <si>
    <t xml:space="preserve">Radish</t>
  </si>
  <si>
    <t xml:space="preserve">Cauliflower</t>
  </si>
  <si>
    <t xml:space="preserve">Groundnut</t>
  </si>
  <si>
    <t xml:space="preserve">Novel groundnut leaf dataset (West Bengal)</t>
  </si>
  <si>
    <t xml:space="preserve">Black gram</t>
  </si>
  <si>
    <t xml:space="preserve">BPLD (Andhra Pradesh)</t>
  </si>
  <si>
    <t xml:space="preserve">Okra</t>
  </si>
  <si>
    <t xml:space="preserve">Okra DiseaseNet (Tamil Nadu)</t>
  </si>
  <si>
    <t xml:space="preserve">Tomato</t>
  </si>
  <si>
    <t xml:space="preserve">Tomato-Village (Rajasthan)</t>
  </si>
  <si>
    <t xml:space="preserve">Cotton</t>
  </si>
  <si>
    <t xml:space="preserve">Cotton with Severity Levels (Pune)</t>
  </si>
  <si>
    <t xml:space="preserve">Mango</t>
  </si>
  <si>
    <t xml:space="preserve">Mango Leaf Disease Dataset (Bangladesh)</t>
  </si>
  <si>
    <t xml:space="preserve">Turmeric</t>
  </si>
  <si>
    <t xml:space="preserve">Turmeric leaf dataset (Bangladesh)</t>
  </si>
  <si>
    <t xml:space="preserve">Tier 1 image totals for Banana, Radish, Cauliflower, Chilli and Groundnut include the whole 23,000-image Tamil Nadu set (shared across 5 crops), so they overstate per-crop size. 'Not published' = source gives no image count.</t>
  </si>
  <si>
    <t xml:space="preserve">Gaps (no usable public dataset): Mustard (request HDMLS from authors), Chickpea, Pearl millet, Finger millet, Sorghum (leaf).</t>
  </si>
  <si>
    <t xml:space="preserve">ID</t>
  </si>
  <si>
    <t xml:space="preserve">Category</t>
  </si>
  <si>
    <t xml:space="preserve">Dataset Name</t>
  </si>
  <si>
    <t xml:space="preserve">Collection Location</t>
  </si>
  <si>
    <t xml:space="preserve">Country</t>
  </si>
  <si>
    <t xml:space="preserve">Total Images</t>
  </si>
  <si>
    <t xml:space="preserve">No. of Classes</t>
  </si>
  <si>
    <t xml:space="preserve">Classes (with counts where published)</t>
  </si>
  <si>
    <t xml:space="preserve">Healthy Class</t>
  </si>
  <si>
    <t xml:space="preserve">Capture Setting</t>
  </si>
  <si>
    <t xml:space="preserve">Licence</t>
  </si>
  <si>
    <t xml:space="preserve">Download Link</t>
  </si>
  <si>
    <t xml:space="preserve">Paper / Documentation</t>
  </si>
  <si>
    <t xml:space="preserve">Verification</t>
  </si>
  <si>
    <t xml:space="preserve">Fit Notes and Risks</t>
  </si>
  <si>
    <t xml:space="preserve">DS-01</t>
  </si>
  <si>
    <t xml:space="preserve">New crop</t>
  </si>
  <si>
    <t xml:space="preserve">COLD - Chilli leaf dataset</t>
  </si>
  <si>
    <t xml:space="preserve">Chilwadigi village, Koppal district, Karnataka</t>
  </si>
  <si>
    <t xml:space="preserve">India</t>
  </si>
  <si>
    <t xml:space="preserve">Healthy 2,198; Cercospora 2,219; Mites/thrips 2,507; Nutritional deficiency 2,032; Powdery mildew 2,031</t>
  </si>
  <si>
    <t xml:space="preserve">Yes</t>
  </si>
  <si>
    <t xml:space="preserve">Field; rainy and sunny weather; Canon camera; stored at 224x224</t>
  </si>
  <si>
    <t xml:space="preserve">CC BY-NC</t>
  </si>
  <si>
    <t xml:space="preserve">https://data.mendeley.com/datasets/tf9dtfz9m6/3</t>
  </si>
  <si>
    <t xml:space="preserve">https://pmc.ncbi.nlm.nih.gov/articles/PMC11170091/</t>
  </si>
  <si>
    <t xml:space="preserve">Best new-crop candidate: large, balanced, Indian field photos, single source. Images already 224x224 (matches EfficientNetB0 input).</t>
  </si>
  <si>
    <t xml:space="preserve">DS-02</t>
  </si>
  <si>
    <t xml:space="preserve">COLD - Onion leaf dataset</t>
  </si>
  <si>
    <t xml:space="preserve">Healthy 1,278; Iris yellow virus 1,272; Purple blotch 735; Leaf blight 1,217</t>
  </si>
  <si>
    <t xml:space="preserve">https://data.mendeley.com/datasets/7nxxn4gj5s/3</t>
  </si>
  <si>
    <t xml:space="preserve">Same authors and capture setup as COLD chilli, so photography style is consistent across classes. Purple blotch is the smallest class; use class weights.</t>
  </si>
  <si>
    <t xml:space="preserve">DS-03</t>
  </si>
  <si>
    <t xml:space="preserve">CS-D - Tea leaf disease dataset (Assam)</t>
  </si>
  <si>
    <t xml:space="preserve">7 tea estates across Assam districts (e.g. Pathini TE, Karimganj)</t>
  </si>
  <si>
    <t xml:space="preserve">Healthy 1,500; Tea mosquito bug 1,500; Red spider mite 1,500; Leaf red rust 1,500; Blister blight 1,500; Brown blight 1,500 (raw). 81,000 after augmentation</t>
  </si>
  <si>
    <t xml:space="preserve">Field; working tea gardens, Dec 2024 to Jun 2025</t>
  </si>
  <si>
    <t xml:space="preserve">CC BY-NC 4.0</t>
  </si>
  <si>
    <t xml:space="preserve">https://data.mendeley.com/datasets/94fzcdz8gz/1</t>
  </si>
  <si>
    <t xml:space="preserve">https://www.sciencedirect.com/science/article/pii/S2352340925009722</t>
  </si>
  <si>
    <t xml:space="preserve">Perfectly balanced. Two classes are pest damage, not pathogens; keep or drop depending on product scope. Use only the 9,000 raw images, not the pre-augmented set.</t>
  </si>
  <si>
    <t xml:space="preserve">DS-04</t>
  </si>
  <si>
    <t xml:space="preserve">MH-SoyaHealthVision (leaf + UAV)</t>
  </si>
  <si>
    <t xml:space="preserve">Soybean fields, Maharashtra</t>
  </si>
  <si>
    <t xml:space="preserve">Leaf part: Healthy, Rust, Mosaic virus, Septoria brown spot, Frog-eye leaf spot, Pest damage (per-class counts not listed). 5,680 total includes UAV images</t>
  </si>
  <si>
    <t xml:space="preserve">Field; handheld leaf photos plus drone imagery</t>
  </si>
  <si>
    <t xml:space="preserve">Not stated</t>
  </si>
  <si>
    <t xml:space="preserve">https://data.mendeley.com/datasets/hkbgh5s3b7/1</t>
  </si>
  <si>
    <t xml:space="preserve">https://www.sciencedirect.com/science/article/pii/S2352340925002495</t>
  </si>
  <si>
    <t xml:space="preserve">Use only the leaf-image folders for the classifier. Image total covers leaf + UAV, so the leaf-only count will be lower. Check licence on download.</t>
  </si>
  <si>
    <t xml:space="preserve">DS-05</t>
  </si>
  <si>
    <t xml:space="preserve">SoyNet - Indian soybean leaf dataset</t>
  </si>
  <si>
    <t xml:space="preserve">Soybean field, Jabalpur, Madhya Pradesh</t>
  </si>
  <si>
    <t xml:space="preserve">Healthy vs Diseased (binary); raw and preprocessed versions</t>
  </si>
  <si>
    <t xml:space="preserve">Field; natural light; Nikon L810 and Motorola g40</t>
  </si>
  <si>
    <t xml:space="preserve">https://data.mendeley.com/datasets/w2r855hpx8/2</t>
  </si>
  <si>
    <t xml:space="preserve">https://pmc.ncbi.nlm.nih.gov/articles/PMC10415694/</t>
  </si>
  <si>
    <t xml:space="preserve">Binary labels only, so it cannot train disease-level classes. Useful as extra Healthy samples or for a healthy-vs-diseased gate. Mixing with MH-SoyaHealthVision creates a source-bias risk; Grad-CAM check required.</t>
  </si>
  <si>
    <t xml:space="preserve">DS-06</t>
  </si>
  <si>
    <t xml:space="preserve">Indigenous Dataset for Apple Leaf Disease Detection</t>
  </si>
  <si>
    <t xml:space="preserve">Apple orchards, Jammu and Kashmir</t>
  </si>
  <si>
    <t xml:space="preserve">Healthy; Alternaria; Apple mosaic (per-class counts not listed)</t>
  </si>
  <si>
    <t xml:space="preserve">Field; handheld devices / cameras</t>
  </si>
  <si>
    <t xml:space="preserve">https://data.mendeley.com/datasets/9m2dcb5mmr/3</t>
  </si>
  <si>
    <t xml:space="preserve">Not available</t>
  </si>
  <si>
    <t xml:space="preserve">Large and Indian, but only 2 diseases. Scab (common in Kashmir) is missing.</t>
  </si>
  <si>
    <t xml:space="preserve">DS-07</t>
  </si>
  <si>
    <t xml:space="preserve">Niphad Grape Leaf Disease Dataset (NGLD)</t>
  </si>
  <si>
    <t xml:space="preserve">Niphad, Nashik district, Maharashtra (table grape)</t>
  </si>
  <si>
    <t xml:space="preserve">Downy mildew; Bacterial rot; Powdery mildew; Healthy (per-class counts not listed)</t>
  </si>
  <si>
    <t xml:space="preserve">Field; mobile phone photos</t>
  </si>
  <si>
    <t xml:space="preserve">https://data.mendeley.com/datasets/8nnd2ypcv3/1</t>
  </si>
  <si>
    <t xml:space="preserve">Nashik is India's main grape belt, so the diseases match Indian conditions. PlantVillage grape classes are lab images; do not mix.</t>
  </si>
  <si>
    <t xml:space="preserve">DS-08</t>
  </si>
  <si>
    <t xml:space="preserve">Banana; Radish; Cauliflower; Chilli; Groundnut</t>
  </si>
  <si>
    <t xml:space="preserve">Chengalpattu, Kanchipuram and Krishnagiri districts, Tamil Nadu</t>
  </si>
  <si>
    <t xml:space="preserve">30+ classes across 5 crops incl. Sigatoka, Leaf curl, Anthracnose, Rust, Downy mildew, Black rot; Healthy class for every crop (per-class counts not listed)</t>
  </si>
  <si>
    <t xml:space="preserve">Field; digital cameras and 200MP phones; 640x640</t>
  </si>
  <si>
    <t xml:space="preserve">https://data.mendeley.com/datasets/6243z8r6t6/1</t>
  </si>
  <si>
    <t xml:space="preserve">One source adds 3 new crops (banana, radish, cauliflower). Its chilli and groundnut parts are a second source for those crops; don't merge with COLD / West Bengal groundnut without a Grad-CAM check.</t>
  </si>
  <si>
    <t xml:space="preserve">DS-09</t>
  </si>
  <si>
    <t xml:space="preserve">Novel groundnut leaf dataset</t>
  </si>
  <si>
    <t xml:space="preserve">Ramchandrapur, Purba Medinipur, West Bengal</t>
  </si>
  <si>
    <t xml:space="preserve">Healthy 600; Early and late leaf spot 450; Alternaria leaf spot 450; Rust 120; Rosette 100</t>
  </si>
  <si>
    <t xml:space="preserve">Field; smartphone; 4624x3472; Jan to Apr 2022 and 2023</t>
  </si>
  <si>
    <t xml:space="preserve">CC BY-NC-ND</t>
  </si>
  <si>
    <t xml:space="preserve">https://data.mendeley.com/datasets/x6x5jkk873/2</t>
  </si>
  <si>
    <t xml:space="preserve">https://pmc.ncbi.nlm.nih.gov/articles/PMC11327543/</t>
  </si>
  <si>
    <t xml:space="preserve">Rust (120) and Rosette (100) are small; class weights needed. ND licence: do not redistribute modified copies of the images.</t>
  </si>
  <si>
    <t xml:space="preserve">DS-10</t>
  </si>
  <si>
    <t xml:space="preserve">Dataset of groundnut plant leaf images for classification and detection</t>
  </si>
  <si>
    <t xml:space="preserve">Not confirmed (page blocked)</t>
  </si>
  <si>
    <t xml:space="preserve">India (per paper)</t>
  </si>
  <si>
    <t xml:space="preserve">Not confirmed (Mendeley page returned 403)</t>
  </si>
  <si>
    <t xml:space="preserve">Unknown</t>
  </si>
  <si>
    <t xml:space="preserve">https://data.mendeley.com/datasets/22p2vcbxfk/3</t>
  </si>
  <si>
    <t xml:space="preserve">https://pmc.ncbi.nlm.nih.gov/articles/PMC10293989/</t>
  </si>
  <si>
    <t xml:space="preserve">Second groundnut source (Data in Brief 2023). Open the Mendeley page manually to confirm classes before use.</t>
  </si>
  <si>
    <t xml:space="preserve">DS-11</t>
  </si>
  <si>
    <t xml:space="preserve">Black gram (urad)</t>
  </si>
  <si>
    <t xml:space="preserve">Blackgram Plant Leaf Disease (BPLD)</t>
  </si>
  <si>
    <t xml:space="preserve">Nagayalanka, Krishna district, Andhra Pradesh</t>
  </si>
  <si>
    <t xml:space="preserve">Healthy; Anthracnose; Leaf crinkle; Powdery mildew; Yellow mosaic (about 1,000 images in total across the 5 classes)</t>
  </si>
  <si>
    <t xml:space="preserve">Field</t>
  </si>
  <si>
    <t xml:space="preserve">https://data.mendeley.com/datasets/zfcv9fmrgv/3</t>
  </si>
  <si>
    <t xml:space="preserve">https://pmc.ncbi.nlm.nih.gov/articles/PMC9679724/</t>
  </si>
  <si>
    <t xml:space="preserve">Small (about 200 per class), similar size to the current pigeonpea set, so expect lower accuracy. Combine with IDBGL only after a source-bias check.</t>
  </si>
  <si>
    <t xml:space="preserve">DS-12</t>
  </si>
  <si>
    <t xml:space="preserve">IDBGL - Image dataset of black gram leaves</t>
  </si>
  <si>
    <t xml:space="preserve">https://data.mendeley.com/datasets/z55yrbmn2d/3</t>
  </si>
  <si>
    <t xml:space="preserve">https://pmc.ncbi.nlm.nih.gov/articles/PMC11847223/</t>
  </si>
  <si>
    <t xml:space="preserve">Possible second black gram source to grow the small BPLD set. Verify classes manually.</t>
  </si>
  <si>
    <t xml:space="preserve">DS-13</t>
  </si>
  <si>
    <t xml:space="preserve">Okra (bhindi)</t>
  </si>
  <si>
    <t xml:space="preserve">Okra DiseaseNet</t>
  </si>
  <si>
    <t xml:space="preserve">SRM Urban Farm, Chengalpattu and farmland in Thanjavur, Tamil Nadu</t>
  </si>
  <si>
    <t xml:space="preserve">Healthy; Alternaria leaf spot; Cercospora leaf spot; Downy mildew; Leaf curl virus; Phyllosticta leaf spot (per-class counts not listed)</t>
  </si>
  <si>
    <t xml:space="preserve">Field; natural light; Mar to May 2023</t>
  </si>
  <si>
    <t xml:space="preserve">https://data.mendeley.com/datasets/nh7zk4hv8z/1</t>
  </si>
  <si>
    <t xml:space="preserve">https://pubmed.ncbi.nlm.nih.gov/40687361/</t>
  </si>
  <si>
    <t xml:space="preserve">Also has segmentation masks per the paper title, which could help the severity module. Yellow vein mosaic (the main Indian okra virus) is not a named class.</t>
  </si>
  <si>
    <t xml:space="preserve">DS-14</t>
  </si>
  <si>
    <t xml:space="preserve">Tomato-Village</t>
  </si>
  <si>
    <t xml:space="preserve">Jodhpur and Jaipur districts, Rajasthan</t>
  </si>
  <si>
    <t xml:space="preserve">Real-field classes incl. Leaf miner, Spotted wilt virus, nutrient deficiencies (full list not confirmed); multiclass, multilabel and detection variants</t>
  </si>
  <si>
    <t xml:space="preserve">Unconfirmed</t>
  </si>
  <si>
    <t xml:space="preserve">Field (real-world, not lab)</t>
  </si>
  <si>
    <t xml:space="preserve">https://github.com/mamta-joshi-gehlot/Tomato-Village</t>
  </si>
  <si>
    <t xml:space="preserve">https://link.springer.com/article/10.1007/s00530-023-01158-y</t>
  </si>
  <si>
    <t xml:space="preserve">Preferred over PlantVillage tomato (lab backgrounds). Also on Kaggle: kaggle.com/datasets/mamtag/tomato-village. Confirm Healthy class after download.</t>
  </si>
  <si>
    <t xml:space="preserve">DS-15</t>
  </si>
  <si>
    <t xml:space="preserve">Cotton Leaf Disease Dataset with Severity Levels</t>
  </si>
  <si>
    <t xml:space="preserve">Padmashree Dr D Y Patil Institute of Engg. and Tech., Pune (field site not stated)</t>
  </si>
  <si>
    <t xml:space="preserve">Cotton_Healthy; Bacterial_Blight; Fusarium_Wilt; Curl_Virus; each graded mild / moderate / severe / critical</t>
  </si>
  <si>
    <t xml:space="preserve">https://data.mendeley.com/datasets/74jsdxtmx2/1</t>
  </si>
  <si>
    <t xml:space="preserve">Severity grades make it useful to validate the severity module (like YR-19 for wheat). Image count not shown on the page.</t>
  </si>
  <si>
    <t xml:space="preserve">DS-16</t>
  </si>
  <si>
    <t xml:space="preserve">Cotton Leaf Image Dataset for Disease Classification</t>
  </si>
  <si>
    <t xml:space="preserve">Sher-e-Bangla Agricultural University, Dhaka</t>
  </si>
  <si>
    <t xml:space="preserve">Bangladesh</t>
  </si>
  <si>
    <t xml:space="preserve">Healthy 333; Bacterial blight 218; Alternaria leaf spot 173; Fusarium wilt 337; Verticillium wilt 312 (4,963 after augmentation)</t>
  </si>
  <si>
    <t xml:space="preserve">Field-grown plants but each leaf shot on a WHITE background; 48-50MP phones</t>
  </si>
  <si>
    <t xml:space="preserve">https://data.mendeley.com/datasets/t9hgvk2h9p/1</t>
  </si>
  <si>
    <t xml:space="preserve">https://pmc.ncbi.nlm.nih.gov/articles/PMC12557508/</t>
  </si>
  <si>
    <t xml:space="preserve">HIGH SHORTCUT RISK: white background, same failure pattern as YR-19. Use only as an external test set, never mixed into training.</t>
  </si>
  <si>
    <t xml:space="preserve">DS-17</t>
  </si>
  <si>
    <t xml:space="preserve">SAR-CLD-2024 cotton leaf disease dataset</t>
  </si>
  <si>
    <t xml:space="preserve">Not confirmed</t>
  </si>
  <si>
    <t xml:space="preserve">https://data.mendeley.com/datasets/b3jy2p6k8w/2</t>
  </si>
  <si>
    <t xml:space="preserve">https://www.sciencedirect.com/science/article/pii/S235234092400876X</t>
  </si>
  <si>
    <t xml:space="preserve">Commonly cited cotton benchmark. Check capture background before use.</t>
  </si>
  <si>
    <t xml:space="preserve">DS-18</t>
  </si>
  <si>
    <t xml:space="preserve">Chilli Leaf Disease Image Dataset</t>
  </si>
  <si>
    <t xml:space="preserve">Ashulia, Narsingdi, Cumilla, Feni, Noakhali, Laksham</t>
  </si>
  <si>
    <t xml:space="preserve">Bacterial spot 1,629; Cercospora leaf spot 1,898; Curl virus 1,590; Healthy 1,647; Nutrient deficiency 1,207; Powdery mildew 843</t>
  </si>
  <si>
    <t xml:space="preserve">Field; variable light and angles; 1000x1000</t>
  </si>
  <si>
    <t xml:space="preserve">https://data.mendeley.com/datasets/tm3v4zmh7c/1</t>
  </si>
  <si>
    <t xml:space="preserve">Adds Bacterial spot and Leaf curl, which the Indian COLD chilli set lacks. Use as a separate test set or merge only after a Grad-CAM check.</t>
  </si>
  <si>
    <t xml:space="preserve">DS-19</t>
  </si>
  <si>
    <t xml:space="preserve">Mango Leaf Disease Dataset</t>
  </si>
  <si>
    <t xml:space="preserve">Kashinathpur (Pabna) and Changao (Savar, Dhaka)</t>
  </si>
  <si>
    <t xml:space="preserve">Anthracnose 326; Bacterial canker 343; Cutting weevil 307; Die back 320; Gall midge 319; Powdery mildew 206; Sooty mould 265; Healthy 250</t>
  </si>
  <si>
    <t xml:space="preserve">Field; mobile phone; Oct to Nov 2024</t>
  </si>
  <si>
    <t xml:space="preserve">https://data.mendeley.com/datasets/7ghdbftp54/1</t>
  </si>
  <si>
    <t xml:space="preserve">No Indian mango leaf dataset found. Diseases match Indian mango (anthracnose, powdery mildew, die back).</t>
  </si>
  <si>
    <t xml:space="preserve">DS-20</t>
  </si>
  <si>
    <t xml:space="preserve">MangoLeafBD</t>
  </si>
  <si>
    <t xml:space="preserve">Diseased and healthy mango leaf classes (counts not re-verified in this search)</t>
  </si>
  <si>
    <t xml:space="preserve">Not re-verified</t>
  </si>
  <si>
    <t xml:space="preserve">https://data.mendeley.com/datasets/hxsnvwty3r/1</t>
  </si>
  <si>
    <t xml:space="preserve">https://pmc.ncbi.nlm.nih.gov/articles/PMC9932726/</t>
  </si>
  <si>
    <t xml:space="preserve">Widely used mango benchmark; good second source for testing.</t>
  </si>
  <si>
    <t xml:space="preserve">DS-21</t>
  </si>
  <si>
    <t xml:space="preserve">Image Dataset for Turmeric Plant Leaf Disease Detection</t>
  </si>
  <si>
    <t xml:space="preserve">East West University (collection site not stated)</t>
  </si>
  <si>
    <t xml:space="preserve">Aphids 847; Blotch 909; Leaf spot 919; Healthy 821 (augmented counts as listed on page; Healthy has 213 originals)</t>
  </si>
  <si>
    <t xml:space="preserve">https://data.mendeley.com/datasets/jtttfbx342/1</t>
  </si>
  <si>
    <t xml:space="preserve">Mostly augmented images; original count is small. Low priority.</t>
  </si>
  <si>
    <t xml:space="preserve">DS-22</t>
  </si>
  <si>
    <t xml:space="preserve">Brinjal; Okra; Mung bean; Sesame; Bitter gourd; Snake gourd; Yard long bean</t>
  </si>
  <si>
    <t xml:space="preserve">Leaf Image Dataset for Plant Disease Classification and Agricultural Analysis</t>
  </si>
  <si>
    <t xml:space="preserve">Sher-e-Bangla Agricultural University</t>
  </si>
  <si>
    <t xml:space="preserve">Bitter gourd 303; Brinjal 298; Ladies finger 252; Mung bean 135; Sesame 222; Snake gourd 153; Yard long bean 182 (Healthy 31 to 56 per crop)</t>
  </si>
  <si>
    <t xml:space="preserve">Field; daylight; smartphone</t>
  </si>
  <si>
    <t xml:space="preserve">https://data.mendeley.com/datasets/hgshn2zg3t/1</t>
  </si>
  <si>
    <t xml:space="preserve">Too few images per crop to train a head alone. Only useful as extra test images.</t>
  </si>
  <si>
    <t xml:space="preserve">DS-23</t>
  </si>
  <si>
    <t xml:space="preserve">Rice</t>
  </si>
  <si>
    <t xml:space="preserve">Expand existing crop</t>
  </si>
  <si>
    <t xml:space="preserve">Paddy Doctor</t>
  </si>
  <si>
    <t xml:space="preserve">Village near Tirunelveli district, Tamil Nadu</t>
  </si>
  <si>
    <t xml:space="preserve">Normal (healthy) plus Bacterial leaf blight, Bacterial leaf streak, Bacterial panicle blight, Blast, Brown spot, Downy mildew, Hispa, Tungro, Leaf roller, stem borers and more</t>
  </si>
  <si>
    <t xml:space="preserve">Field; CAT S62 Pro phone (RGB + infrared); 480x640</t>
  </si>
  <si>
    <t xml:space="preserve">CC BY-SA 4.0</t>
  </si>
  <si>
    <t xml:space="preserve">https://paddydoc.github.io/dataset/</t>
  </si>
  <si>
    <t xml:space="preserve">https://arxiv.org/abs/2205.11108</t>
  </si>
  <si>
    <t xml:space="preserve">Adds classes the current 5-class rice head lacks (e.g. Bacterial leaf streak, Downy mildew, Hispa). Same Indian field style as the current rice data.</t>
  </si>
  <si>
    <t xml:space="preserve">DS-24</t>
  </si>
  <si>
    <t xml:space="preserve">Sugarcane</t>
  </si>
  <si>
    <t xml:space="preserve">Sugarcane Leaf Disease Dataset (SPPU)</t>
  </si>
  <si>
    <t xml:space="preserve">Maharashtra (Savitribai Phule Pune University)</t>
  </si>
  <si>
    <t xml:space="preserve">Healthy; Mosaic; Red rot; Rust; Yellow (per-class counts not listed)</t>
  </si>
  <si>
    <t xml:space="preserve">Field; several smartphones</t>
  </si>
  <si>
    <t xml:space="preserve">https://data.mendeley.com/datasets/9424skmnrk/1</t>
  </si>
  <si>
    <t xml:space="preserve">Can add Mosaic and Red rot as explicit classes to the current 11-class sugarcane head, or serve as an external test set.</t>
  </si>
  <si>
    <t xml:space="preserve">DS-25</t>
  </si>
  <si>
    <t xml:space="preserve">Mustard</t>
  </si>
  <si>
    <t xml:space="preserve">Gap</t>
  </si>
  <si>
    <t xml:space="preserve">HDMLS - Healthy-Disease Mustard Leaf Set</t>
  </si>
  <si>
    <t xml:space="preserve">India (per authors)</t>
  </si>
  <si>
    <t xml:space="preserve">1 Healthy + 4 disease classes covering Alternaria blight and White rust (5,663 after augmentation)</t>
  </si>
  <si>
    <t xml:space="preserve">Field (350 person-hours of photography)</t>
  </si>
  <si>
    <t xml:space="preserve">https://jisem-journal.com/index.php/journal/article/view/2872</t>
  </si>
  <si>
    <t xml:space="preserve">Good fit but NOT publicly downloadable. Request the images from the authors (Juneja and Dhaliwal).</t>
  </si>
  <si>
    <t xml:space="preserve">DS-26</t>
  </si>
  <si>
    <t xml:space="preserve">Chickpea</t>
  </si>
  <si>
    <t xml:space="preserve">Fusarium Wilt Disease in Chickpea (FUSARIUM-22)</t>
  </si>
  <si>
    <t xml:space="preserve">Not India</t>
  </si>
  <si>
    <t xml:space="preserve">Fusarium wilt resistance grades only</t>
  </si>
  <si>
    <t xml:space="preserve">No</t>
  </si>
  <si>
    <t xml:space="preserve">https://www.kaggle.com/datasets/tolgahayit/fusarium-wilt-disease-in-chickpea-dataset</t>
  </si>
  <si>
    <t xml:space="preserve">Already rejected in the project (no Healthy class). No public chickpea dataset with a Healthy class was found.</t>
  </si>
  <si>
    <t xml:space="preserve">DS-27</t>
  </si>
  <si>
    <t xml:space="preserve">Sorghum</t>
  </si>
  <si>
    <t xml:space="preserve">Sorghum Disease Image Dataset</t>
  </si>
  <si>
    <t xml:space="preserve">Anthracnose and red rot; Cereal grain molds; Covered kernel smut; Head smut; Loose smut; Rust</t>
  </si>
  <si>
    <t xml:space="preserve">https://data.mendeley.com/datasets/fgb3cmfrg2/1</t>
  </si>
  <si>
    <t xml:space="preserve">Mostly grain and panicle diseases, not leaves, and no Healthy class.</t>
  </si>
  <si>
    <t xml:space="preserve">DS-28</t>
  </si>
  <si>
    <t xml:space="preserve">Arecanut</t>
  </si>
  <si>
    <t xml:space="preserve">Arecanut Disease Detection Dataset (6 classes)</t>
  </si>
  <si>
    <t xml:space="preserve">Chikkamagaluru district, Karnataka</t>
  </si>
  <si>
    <t xml:space="preserve">Healthy leaf; Healthy nut; Fruit rot; Bud rot; Yellow leaf; Ring spot</t>
  </si>
  <si>
    <t xml:space="preserve">IEEE DataPort subscription</t>
  </si>
  <si>
    <t xml:space="preserve">https://github.com/BeenaPradeep/ARECANUT-DATASET</t>
  </si>
  <si>
    <t xml:space="preserve">https://ieee-dataport.org/documents/arecanut-disease-detection-dataset-6-classes-field-images-karnataka-india</t>
  </si>
  <si>
    <t xml:space="preserve">Only about 300 images, mixing leaf and nut. Too small for a classification head.</t>
  </si>
  <si>
    <t xml:space="preserve">DS-29</t>
  </si>
  <si>
    <t xml:space="preserve">Multi (13 species)</t>
  </si>
  <si>
    <t xml:space="preserve">PlantDoc</t>
  </si>
  <si>
    <t xml:space="preserve">Internet-scraped images</t>
  </si>
  <si>
    <t xml:space="preserve">Mixed</t>
  </si>
  <si>
    <t xml:space="preserve">13 plant species, up to 17 disease classes</t>
  </si>
  <si>
    <t xml:space="preserve">Internet images (mixed backgrounds)</t>
  </si>
  <si>
    <t xml:space="preserve">CC BY 4.0</t>
  </si>
  <si>
    <t xml:space="preserve">https://github.com/pratikkayal/PlantDoc-Dataset</t>
  </si>
  <si>
    <t xml:space="preserve">https://arxiv.org/pdf/1911.10317</t>
  </si>
  <si>
    <t xml:space="preserve">Not for training (web images, no field provenance). Good as a hard robustness test set for tomato, potato, maize and others.</t>
  </si>
  <si>
    <t xml:space="preserve">DS-30</t>
  </si>
  <si>
    <t xml:space="preserve">Banana Leaf Disease Images</t>
  </si>
  <si>
    <t xml:space="preserve">Arba Minch area farms, southern Ethiopia</t>
  </si>
  <si>
    <t xml:space="preserve">Ethiopia</t>
  </si>
  <si>
    <t xml:space="preserve">Healthy; Xanthomonas wilt; Sigatoka</t>
  </si>
  <si>
    <t xml:space="preserve">Field; smartphone</t>
  </si>
  <si>
    <t xml:space="preserve">https://data.mendeley.com/datasets/rjykr62kdh/1</t>
  </si>
  <si>
    <t xml:space="preserve">Not Indian and small. The Tamil Nadu Multi-Crop dataset is the better banana source.</t>
  </si>
  <si>
    <t xml:space="preserve">DS-31</t>
  </si>
  <si>
    <t xml:space="preserve">Coconut</t>
  </si>
  <si>
    <t xml:space="preserve">Coconut Tree Disease Dataset</t>
  </si>
  <si>
    <t xml:space="preserve">https://www.kaggle.com/datasets/nagabushan/coconut-tree-disease-dataset</t>
  </si>
  <si>
    <t xml:space="preserve">https://www.sciencedirect.com/science/article/pii/S2352340923007692</t>
  </si>
  <si>
    <t xml:space="preserve">Mendeley mirror (gh56wbsnj5) returned 403. Mostly whole-tree / trunk diseases per the paper title; confirm leaf content before use.</t>
  </si>
  <si>
    <t xml:space="preserve">DS-32</t>
  </si>
  <si>
    <t xml:space="preserve">Pearl millet</t>
  </si>
  <si>
    <t xml:space="preserve">No public dataset found</t>
  </si>
  <si>
    <t xml:space="preserve">Papers exist (e.g. Deep-millet) but no downloadable images</t>
  </si>
  <si>
    <t xml:space="preserve">https://iopscience.iop.org/article/10.1088/2515-7620/ad8415</t>
  </si>
  <si>
    <t xml:space="preserve">Gap. Possible route: request data from the authors or from ICAR-IIMR / ICRISAT.</t>
  </si>
  <si>
    <t xml:space="preserve">DS-33</t>
  </si>
  <si>
    <t xml:space="preserve">Multi</t>
  </si>
  <si>
    <t xml:space="preserve">Top Agriculture Crop Disease India (Kaggle)</t>
  </si>
  <si>
    <t xml:space="preserve">https://www.kaggle.com/datasets/kamal01/top-agriculture-crop-disease</t>
  </si>
  <si>
    <t xml:space="preserve">No provenance or original source listed. Skip; likely a re-upload of other datasets.</t>
  </si>
  <si>
    <t xml:space="preserve">Note: Total Images is left blank where the source does not publish a count. '9,000+' and '23,000+' are entered as 9,000 and 23,000. Counts are as published by the dataset authors.</t>
  </si>
  <si>
    <t xml:space="preserve">Source</t>
  </si>
  <si>
    <t xml:space="preserve">Provider</t>
  </si>
  <si>
    <t xml:space="preserve">What It Gives</t>
  </si>
  <si>
    <t xml:space="preserve">Spatial Resolution</t>
  </si>
  <si>
    <t xml:space="preserve">Time Coverage</t>
  </si>
  <si>
    <t xml:space="preserve">Access Method</t>
  </si>
  <si>
    <t xml:space="preserve">Key / Signup</t>
  </si>
  <si>
    <t xml:space="preserve">Commercial Use OK?</t>
  </si>
  <si>
    <t xml:space="preserve">Use in This Project</t>
  </si>
  <si>
    <t xml:space="preserve">Claude Code Can Automate?</t>
  </si>
  <si>
    <t xml:space="preserve">Your Manual Step</t>
  </si>
  <si>
    <t xml:space="preserve">Main Link</t>
  </si>
  <si>
    <t xml:space="preserve">Docs / Second Link</t>
  </si>
  <si>
    <t xml:space="preserve">Phase</t>
  </si>
  <si>
    <t xml:space="preserve">Phase Note</t>
  </si>
  <si>
    <t xml:space="preserve">CX-01</t>
  </si>
  <si>
    <t xml:space="preserve">Weather (live)</t>
  </si>
  <si>
    <t xml:space="preserve">Open-Meteo Forecast API (Free / Open-Access tier)</t>
  </si>
  <si>
    <t xml:space="preserve">Open-Meteo</t>
  </si>
  <si>
    <t xml:space="preserve">Hourly temperature, relative humidity, dew point, precipitation, soil moisture, leaf wetness; forecast plus past days</t>
  </si>
  <si>
    <t xml:space="preserve">Point (lat/lon)</t>
  </si>
  <si>
    <t xml:space="preserve">Forecast + recent past days</t>
  </si>
  <si>
    <t xml:space="preserve">REST API (api.open-meteo.com)</t>
  </si>
  <si>
    <t xml:space="preserve">No key, no signup</t>
  </si>
  <si>
    <t xml:space="preserve">CC BY 4.0 (attribution required)</t>
  </si>
  <si>
    <t xml:space="preserve">No: free tier is non-commercial only (no ads, no subscriptions, no commercial product). Paid plans for commercial use</t>
  </si>
  <si>
    <t xml:space="preserve">Weather risk rules (Prompt 10); context snapshot per prediction</t>
  </si>
  <si>
    <t xml:space="preserve">Fully</t>
  </si>
  <si>
    <t xml:space="preserve">Add attribution line 'Weather data by Open-Meteo.com'. Stay under 10,000 calls/day, 5,000/hour, 600/min; cache per location per hour</t>
  </si>
  <si>
    <t xml:space="preserve">https://open-meteo.com/en/terms</t>
  </si>
  <si>
    <t xml:space="preserve">https://open-meteo.com/en/pricing</t>
  </si>
  <si>
    <t xml:space="preserve">Phase 1</t>
  </si>
  <si>
    <t xml:space="preserve">Used now</t>
  </si>
  <si>
    <t xml:space="preserve">CX-02</t>
  </si>
  <si>
    <t xml:space="preserve">Weather (history)</t>
  </si>
  <si>
    <t xml:space="preserve">ERA5-Land Daily Aggregated</t>
  </si>
  <si>
    <t xml:space="preserve">ECMWF / Copernicus (via Earth Engine)</t>
  </si>
  <si>
    <t xml:space="preserve">50 daily bands: 2 m temperature, dew point, total precipitation, soil moisture in 4 layers, radiation, wind</t>
  </si>
  <si>
    <t xml:space="preserve">~11 km (0.1 deg)</t>
  </si>
  <si>
    <t xml:space="preserve">1950-01-02 to ~3 months before today; monthly updates</t>
  </si>
  <si>
    <t xml:space="preserve">Earth Engine: ECMWF/ERA5_LAND/DAILY_AGGR</t>
  </si>
  <si>
    <t xml:space="preserve">Earth Engine account</t>
  </si>
  <si>
    <t xml:space="preserve">Copernicus licence; attribution 'Generated using Copernicus Climate Change Service Information [Year]'</t>
  </si>
  <si>
    <t xml:space="preserve">Data: yes with attribution. Via Earth Engine: only on a commercial Earth Engine licence</t>
  </si>
  <si>
    <t xml:space="preserve">Past-season weather for rule validation; district-month context for existing datasets</t>
  </si>
  <si>
    <t xml:space="preserve">After your one-time setup</t>
  </si>
  <si>
    <t xml:space="preserve">Earth Engine setup (see Setup Steps). Note: precipitation bands can have small negative values; clip to 0</t>
  </si>
  <si>
    <t xml:space="preserve">https://developers.google.com/earth-engine/datasets/catalog/ECMWF_ERA5_LAND_DAILY_AGGR</t>
  </si>
  <si>
    <t xml:space="preserve">CX-03</t>
  </si>
  <si>
    <t xml:space="preserve">CHIRPS Daily rainfall</t>
  </si>
  <si>
    <t xml:space="preserve">Climate Hazards Center, UCSB (via Earth Engine)</t>
  </si>
  <si>
    <t xml:space="preserve">Daily precipitation (mm/day)</t>
  </si>
  <si>
    <t xml:space="preserve">~5.5 km (0.05 deg)</t>
  </si>
  <si>
    <t xml:space="preserve">1981-01-01 to 2026-08-31 (updated regularly)</t>
  </si>
  <si>
    <t xml:space="preserve">Earth Engine: UCSB-CHG/CHIRPS/DAILY</t>
  </si>
  <si>
    <t xml:space="preserve">Public domain</t>
  </si>
  <si>
    <t xml:space="preserve">Yes (public domain; Earth Engine commercial licence needed only if pulled via Earth Engine commercially)</t>
  </si>
  <si>
    <t xml:space="preserve">Rainfall history and anomalies for disease rules</t>
  </si>
  <si>
    <t xml:space="preserve">Earth Engine setup</t>
  </si>
  <si>
    <t xml:space="preserve">https://developers.google.com/earth-engine/datasets/catalog/UCSB-CHG_CHIRPS_DAILY</t>
  </si>
  <si>
    <t xml:space="preserve">CX-04</t>
  </si>
  <si>
    <t xml:space="preserve">NASA POWER</t>
  </si>
  <si>
    <t xml:space="preserve">NASA Langley Research Center</t>
  </si>
  <si>
    <t xml:space="preserve">300+ solar and meteorological parameters; dedicated agroclimatology community</t>
  </si>
  <si>
    <t xml:space="preserve">Coarse grid (exact value not confirmed on page)</t>
  </si>
  <si>
    <t xml:space="preserve">Long historical record (exact start not confirmed on page)</t>
  </si>
  <si>
    <t xml:space="preserve">REST API</t>
  </si>
  <si>
    <t xml:space="preserve">Not stated (described as free)</t>
  </si>
  <si>
    <t xml:space="preserve">Free (terms not re-read)</t>
  </si>
  <si>
    <t xml:space="preserve">Check terms before commercial use</t>
  </si>
  <si>
    <t xml:space="preserve">Backup source for historical weather if Earth Engine quota runs out</t>
  </si>
  <si>
    <t xml:space="preserve">Confirm resolution, start year and terms in the API docs before relying on it</t>
  </si>
  <si>
    <t xml:space="preserve">https://power.larc.nasa.gov/</t>
  </si>
  <si>
    <t xml:space="preserve">https://power.larc.nasa.gov/docs/services/api/</t>
  </si>
  <si>
    <t xml:space="preserve">Fallback</t>
  </si>
  <si>
    <t xml:space="preserve">Only if Earth Engine or Open-Meteo fails / quota runs out</t>
  </si>
  <si>
    <t xml:space="preserve">CX-05</t>
  </si>
  <si>
    <t xml:space="preserve">IMD gridded rainfall, Tmin, Tmax (via IMDLIB)</t>
  </si>
  <si>
    <t xml:space="preserve">India Meteorological Department, Pune</t>
  </si>
  <si>
    <t xml:space="preserve">Daily observed rainfall, minimum and maximum temperature for India</t>
  </si>
  <si>
    <t xml:space="preserve">Rainfall 0.25 deg; temperature 0.5 deg</t>
  </si>
  <si>
    <t xml:space="preserve">Multi-decade daily archive + real-time</t>
  </si>
  <si>
    <t xml:space="preserve">Python library imdlib (pip install imdlib)</t>
  </si>
  <si>
    <t xml:space="preserve">No key</t>
  </si>
  <si>
    <t xml:space="preserve">IMD data policy (not re-read)</t>
  </si>
  <si>
    <t xml:space="preserve">Check IMD data policy</t>
  </si>
  <si>
    <t xml:space="preserve">Official Indian observations to cross-check ERA5 / CHIRPS</t>
  </si>
  <si>
    <t xml:space="preserve">Read IMD's data policy once; imdlib downloads from imdpune.gov.in</t>
  </si>
  <si>
    <t xml:space="preserve">https://imdlib.readthedocs.io/en/latest/Usage.html</t>
  </si>
  <si>
    <t xml:space="preserve">https://github.com/iamsaswata/imdlib</t>
  </si>
  <si>
    <t xml:space="preserve">Phase 2</t>
  </si>
  <si>
    <t xml:space="preserve">Later: validation, better geometry, or needs manual input</t>
  </si>
  <si>
    <t xml:space="preserve">CX-06</t>
  </si>
  <si>
    <t xml:space="preserve">Soil</t>
  </si>
  <si>
    <t xml:space="preserve">SoilGrids 250m v2.0</t>
  </si>
  <si>
    <t xml:space="preserve">ISRIC World Soil Information</t>
  </si>
  <si>
    <t xml:space="preserve">11 properties: pH (H2O), total nitrogen, soil organic carbon, organic carbon density/stock, clay, sand, silt, CEC, bulk density, coarse fragments; 6 depths 0-200 cm</t>
  </si>
  <si>
    <t xml:space="preserve">250 m</t>
  </si>
  <si>
    <t xml:space="preserve">Static (modelled map)</t>
  </si>
  <si>
    <t xml:space="preserve">Earth Engine community assets: projects/soilgrids-isric/&lt;layer&gt;_mean</t>
  </si>
  <si>
    <t xml:space="preserve">Yes, with attribution</t>
  </si>
  <si>
    <t xml:space="preserve">Soil context per location (e.g. low N / low OC for brown spot, pH); advice tuning</t>
  </si>
  <si>
    <t xml:space="preserve">Earth Engine setup. The SoilGrids REST API is paused, so use Earth Engine (or ISRIC WebDAV/WCS)</t>
  </si>
  <si>
    <t xml:space="preserve">https://docs.isric.org/globaldata/soilgrids/access_on_gee.html</t>
  </si>
  <si>
    <t xml:space="preserve">https://www.isric.org/explore/soilgrids</t>
  </si>
  <si>
    <t xml:space="preserve">CX-07</t>
  </si>
  <si>
    <t xml:space="preserve">Soil Health Card nutrient dashboard</t>
  </si>
  <si>
    <t xml:space="preserve">Dept. of Agriculture and Farmers Welfare, Govt of India</t>
  </si>
  <si>
    <t xml:space="preserve">Lab-tested N, P, K, OC, pH and micronutrients</t>
  </si>
  <si>
    <t xml:space="preserve">Village / block / district</t>
  </si>
  <si>
    <t xml:space="preserve">Scheme cycles</t>
  </si>
  <si>
    <t xml:space="preserve">Website dashboard (no public API found)</t>
  </si>
  <si>
    <t xml:space="preserve">None to view</t>
  </si>
  <si>
    <t xml:space="preserve">Government data (terms not read)</t>
  </si>
  <si>
    <t xml:space="preserve">Check terms</t>
  </si>
  <si>
    <t xml:space="preserve">Ground-truth check of SoilGrids values for your demo districts</t>
  </si>
  <si>
    <t xml:space="preserve">Manual</t>
  </si>
  <si>
    <t xml:space="preserve">Page returned 403 during research. Open in browser; note values for 3 demo villages by hand; do not scrape</t>
  </si>
  <si>
    <t xml:space="preserve">https://www.soilhealth.dac.gov.in/nutrient-dashboard</t>
  </si>
  <si>
    <t xml:space="preserve">CX-08</t>
  </si>
  <si>
    <t xml:space="preserve">Satellite / field</t>
  </si>
  <si>
    <t xml:space="preserve">Sentinel-2 L2A (COPERNICUS/S2_SR_HARMONIZED)</t>
  </si>
  <si>
    <t xml:space="preserve">ESA Copernicus (via Earth Engine)</t>
  </si>
  <si>
    <t xml:space="preserve">Surface reflectance incl. red-edge bands -&gt; NDVI, NDRE, REDSI; SCL band for cloud masking</t>
  </si>
  <si>
    <t xml:space="preserve">10 m (20 m red-edge)</t>
  </si>
  <si>
    <t xml:space="preserve">~5-day revisit</t>
  </si>
  <si>
    <t xml:space="preserve">Earth Engine</t>
  </si>
  <si>
    <t xml:space="preserve">Copernicus data: free</t>
  </si>
  <si>
    <t xml:space="preserve">Data yes; Earth Engine free tier non-commercial only</t>
  </si>
  <si>
    <t xml:space="preserve">Field health check (Prompt 9): NDVI/NDRE history, field vs neighbours</t>
  </si>
  <si>
    <t xml:space="preserve">Earth Engine setup; watch the 150 EECU-hours/month quota</t>
  </si>
  <si>
    <t xml:space="preserve">https://developers.google.com/earth-engine/guides/noncommercial_tiers</t>
  </si>
  <si>
    <t xml:space="preserve">CX-09</t>
  </si>
  <si>
    <t xml:space="preserve">Land cover</t>
  </si>
  <si>
    <t xml:space="preserve">ESA WorldCover v200</t>
  </si>
  <si>
    <t xml:space="preserve">ESA (via Earth Engine)</t>
  </si>
  <si>
    <t xml:space="preserve">Land cover map, 11 classes; cropland = class 40</t>
  </si>
  <si>
    <t xml:space="preserve">10 m</t>
  </si>
  <si>
    <t xml:space="preserve">2021</t>
  </si>
  <si>
    <t xml:space="preserve">Earth Engine: ESA/WorldCover/v200</t>
  </si>
  <si>
    <t xml:space="preserve">Cropland mask for the neighbourhood baseline</t>
  </si>
  <si>
    <t xml:space="preserve">https://developers.google.com/earth-engine/datasets/catalog/ESA_WorldCover_v200</t>
  </si>
  <si>
    <t xml:space="preserve">CX-10</t>
  </si>
  <si>
    <t xml:space="preserve">Field boundary + crop calendar</t>
  </si>
  <si>
    <t xml:space="preserve">Google Agricultural Understanding: ALU + AMED</t>
  </si>
  <si>
    <t xml:space="preserve">Google</t>
  </si>
  <si>
    <t xml:space="preserve">ALU: field, tree and water-body polygons; AMED: crop type and sowing/harvest seasons for 12 crops (bajra, chilli, corn, cotton, gram, groundnut, mustard, rice, sorghum, soybean, sugarcane, wheat)</t>
  </si>
  <si>
    <t xml:space="preserve">ALU inferred at 1 m; AMED 10-30 m</t>
  </si>
  <si>
    <t xml:space="preserve">ALU up to 15 years; AMED up to 6 years</t>
  </si>
  <si>
    <t xml:space="preserve">REST API; Google Earth</t>
  </si>
  <si>
    <t xml:space="preserve">API access (process not verified)</t>
  </si>
  <si>
    <t xml:space="preserve">Yes, with attribution (confirm API terms)</t>
  </si>
  <si>
    <t xml:space="preserve">Exact field polygon for the field health check; crop stage context</t>
  </si>
  <si>
    <t xml:space="preserve">Check how to get API access; fall back to a 30 m buffer if not available</t>
  </si>
  <si>
    <t xml:space="preserve">https://developers.google.com/agricultural-understanding/understanding-data</t>
  </si>
  <si>
    <t xml:space="preserve">CX-11</t>
  </si>
  <si>
    <t xml:space="preserve">Platform</t>
  </si>
  <si>
    <t xml:space="preserve">Google Earth Engine (noncommercial Community tier)</t>
  </si>
  <si>
    <t xml:space="preserve">Server-side access to ERA5-Land, CHIRPS, SoilGrids, Sentinel-2, WorldCover</t>
  </si>
  <si>
    <t xml:space="preserve">n/a</t>
  </si>
  <si>
    <t xml:space="preserve">150 EECU-hours per month, resets monthly (since 27 Apr 2026)</t>
  </si>
  <si>
    <t xml:space="preserve">Python API (earthengine-api, geemap)</t>
  </si>
  <si>
    <t xml:space="preserve">Google account + registered noncommercial project</t>
  </si>
  <si>
    <t xml:space="preserve">Free for noncommercial</t>
  </si>
  <si>
    <t xml:space="preserve">No (commercial licence needed)</t>
  </si>
  <si>
    <t xml:space="preserve">Single gateway for 5 of the sources above</t>
  </si>
  <si>
    <t xml:space="preserve">Register project, create service account, keep key out of git (see Setup Steps)</t>
  </si>
  <si>
    <t xml:space="preserve">CX-12</t>
  </si>
  <si>
    <t xml:space="preserve">Disease rules</t>
  </si>
  <si>
    <t xml:space="preserve">TNAU Agritech Portal: Crop Protection</t>
  </si>
  <si>
    <t xml:space="preserve">Tamil Nadu Agricultural University</t>
  </si>
  <si>
    <t xml:space="preserve">Disease symptoms, favourable conditions, IPM and management for many crops</t>
  </si>
  <si>
    <t xml:space="preserve">Maintained 2008-2025</t>
  </si>
  <si>
    <t xml:space="preserve">Website (free public content)</t>
  </si>
  <si>
    <t xml:space="preserve">None</t>
  </si>
  <si>
    <t xml:space="preserve">(c) TNAU, all rights reserved: cite facts, do not copy text verbatim</t>
  </si>
  <si>
    <t xml:space="preserve">Use facts with citation</t>
  </si>
  <si>
    <t xml:space="preserve">Knowledge base of favourable conditions per (crop, disease)</t>
  </si>
  <si>
    <t xml:space="preserve">Partly (expert review needed)</t>
  </si>
  <si>
    <t xml:space="preserve">Claude Code can draft rules with source links and quotes; an agronomist or KVK scientist must verify before use</t>
  </si>
  <si>
    <t xml:space="preserve">https://agritech.tnau.ac.in/crop_protection/crop_prot.html</t>
  </si>
  <si>
    <t xml:space="preserve">CX-13</t>
  </si>
  <si>
    <t xml:space="preserve">INDO-BLIGHTCAST (potato late blight model)</t>
  </si>
  <si>
    <t xml:space="preserve">ICAR-Central Potato Research Institute</t>
  </si>
  <si>
    <t xml:space="preserve">India-specific late blight forecasting model across agro-ecologies (Int. J. Pest Management 62(4), 2016)</t>
  </si>
  <si>
    <t xml:space="preserve">Published 2016</t>
  </si>
  <si>
    <t xml:space="preserve">Journal article (paywalled)</t>
  </si>
  <si>
    <t xml:space="preserve">Paper access</t>
  </si>
  <si>
    <t xml:space="preserve">Journal copyright</t>
  </si>
  <si>
    <t xml:space="preserve">Method can be re-implemented with citation</t>
  </si>
  <si>
    <t xml:space="preserve">Late blight risk rule (Prompt 10)</t>
  </si>
  <si>
    <t xml:space="preserve">None now: the model is already implemented from the published abstract (task.md Task 13)</t>
  </si>
  <si>
    <t xml:space="preserve">https://www.tandfonline.com/doi/abs/10.1080/09670874.2016.1210839</t>
  </si>
  <si>
    <t xml:space="preserve">https://www.researchgate.net/publication/306045270_INDO-BLIGHTCAST_-_a_model_for_forecasting_late_blight_across_agroecologies</t>
  </si>
  <si>
    <t xml:space="preserve">In use</t>
  </si>
  <si>
    <t xml:space="preserve">Already implemented in Task 13 (server/utils/diseaseRisk.js, docs/DISEASE_RISK.md); reuse, do not re-implement</t>
  </si>
  <si>
    <t xml:space="preserve">Rule: these sources are NOT joined to existing training images (those have no GPS/date). They are fetched at prediction time from the photo's location and date.</t>
  </si>
  <si>
    <t xml:space="preserve">Automation key: Fully = Claude Code can build and run it from a prompt alone. After your one-time setup = you create an account/key first (Setup Steps sheet). Partly = Claude Code drafts, an expert must verify. Manual = no API; human action needed.</t>
  </si>
  <si>
    <t xml:space="preserve">Licence: Open-Meteo free tier and the Earth Engine Community tier are for noncommercial use only (portfolio, research, education). A paid product needs paid/commercial plans.</t>
  </si>
  <si>
    <t xml:space="preserve">Automation summary</t>
  </si>
  <si>
    <t xml:space="preserve">Step</t>
  </si>
  <si>
    <t xml:space="preserve">Who</t>
  </si>
  <si>
    <t xml:space="preserve">What to Do</t>
  </si>
  <si>
    <t xml:space="preserve">Link</t>
  </si>
  <si>
    <t xml:space="preserve">Time</t>
  </si>
  <si>
    <t xml:space="preserve">Unlocks</t>
  </si>
  <si>
    <t xml:space="preserve">You</t>
  </si>
  <si>
    <t xml:space="preserve">Create a Google Cloud project and register it for noncommercial Earth Engine use (Community tier)</t>
  </si>
  <si>
    <t xml:space="preserve">20-30 min</t>
  </si>
  <si>
    <t xml:space="preserve">ERA5-Land, CHIRPS, SoilGrids, Sentinel-2, WorldCover</t>
  </si>
  <si>
    <t xml:space="preserve">Enable the Earth Engine API, create a service account, download its JSON key; store it OUTSIDE the repo and set its path in an env variable</t>
  </si>
  <si>
    <t xml:space="preserve">15 min</t>
  </si>
  <si>
    <t xml:space="preserve">All Earth Engine sources</t>
  </si>
  <si>
    <t xml:space="preserve">Claude Code</t>
  </si>
  <si>
    <t xml:space="preserve">Write a connection test script that authenticates with the service account and prints one Sentinel-2 NDVI value for a test point</t>
  </si>
  <si>
    <t xml:space="preserve">5 min</t>
  </si>
  <si>
    <t xml:space="preserve">Confirms setup works</t>
  </si>
  <si>
    <t xml:space="preserve">Check monthly Earth Engine quota usage (150 EECU-hours) once a week while developing</t>
  </si>
  <si>
    <t xml:space="preserve">2 min/week</t>
  </si>
  <si>
    <t xml:space="preserve">Nobody</t>
  </si>
  <si>
    <t xml:space="preserve">Open-Meteo needs no key. Claude Code adds the attribution line and caching</t>
  </si>
  <si>
    <t xml:space="preserve">0</t>
  </si>
  <si>
    <t xml:space="preserve">Read the IMD data policy once and confirm research/portfolio use is allowed</t>
  </si>
  <si>
    <t xml:space="preserve">10 min</t>
  </si>
  <si>
    <t xml:space="preserve">IMD via imdlib</t>
  </si>
  <si>
    <t xml:space="preserve">Check how to get access to the Google Agricultural Understanding (ALU/AMED) API; if not available, Claude Code uses a 30 m buffer</t>
  </si>
  <si>
    <t xml:space="preserve">ALU / AMED</t>
  </si>
  <si>
    <t xml:space="preserve">Obtain the INDO-BLIGHTCAST paper and put the PDF in the repo's docs/references (git-ignored if copyrighted)</t>
  </si>
  <si>
    <t xml:space="preserve">Depends on access</t>
  </si>
  <si>
    <t xml:space="preserve">Late blight rule</t>
  </si>
  <si>
    <t xml:space="preserve">You + expert</t>
  </si>
  <si>
    <t xml:space="preserve">After Claude Code drafts the disease-rules file from TNAU etc., get it reviewed by an agronomist / KVK scientist before enabling it</t>
  </si>
  <si>
    <t xml:space="preserve">1-2 hours of expert time</t>
  </si>
  <si>
    <t xml:space="preserve">All disease rules</t>
  </si>
  <si>
    <t xml:space="preserve">Note Soil Health Card values for 3 demo villages by hand to sanity-check SoilGrids</t>
  </si>
  <si>
    <t xml:space="preserve">30 min</t>
  </si>
  <si>
    <t xml:space="preserve">Soil ground truth</t>
  </si>
  <si>
    <t xml:space="preserve">Do steps 1-2 before running the geospatial / context prompts. Everything else Claude Code can build from the prompt.</t>
  </si>
  <si>
    <t xml:space="preserve">#</t>
  </si>
  <si>
    <t xml:space="preserve">Dataset / Paper Title</t>
  </si>
  <si>
    <t xml:space="preserve">What is known</t>
  </si>
  <si>
    <t xml:space="preserve">Next Step</t>
  </si>
  <si>
    <t xml:space="preserve">Chili Leaf Disease Dataset (Bangladesh, smartphone)</t>
  </si>
  <si>
    <t xml:space="preserve">https://data.mendeley.com/datasets/wzc6r6w5w5/2</t>
  </si>
  <si>
    <t xml:space="preserve">Bangladesh; Anthracnose, Cercospora, Leaf curl, Healthy (from title)</t>
  </si>
  <si>
    <t xml:space="preserve">Open page, check counts</t>
  </si>
  <si>
    <t xml:space="preserve">Chili Plant Leaf Disease and Growth Stage Dataset</t>
  </si>
  <si>
    <t xml:space="preserve">https://data.mendeley.com/datasets/w9mr3vf56s/1</t>
  </si>
  <si>
    <t xml:space="preserve">Bangladesh (from title)</t>
  </si>
  <si>
    <t xml:space="preserve">Tomato; Chilli; Papaya</t>
  </si>
  <si>
    <t xml:space="preserve">TCP (Tomato-Chilli-Papaya Fruit and Leaf) Disease Dataset</t>
  </si>
  <si>
    <t xml:space="preserve">https://data.mendeley.com/datasets/m4m6j2tjfj/2</t>
  </si>
  <si>
    <t xml:space="preserve">Origin not confirmed</t>
  </si>
  <si>
    <t xml:space="preserve">Check origin and leaf-only classes</t>
  </si>
  <si>
    <t xml:space="preserve">Tomato Leaf Image Dataset for Disease Analysis in Real-World Environment</t>
  </si>
  <si>
    <t xml:space="preserve">https://data.mendeley.com/datasets/rnbsw72zb5/1</t>
  </si>
  <si>
    <t xml:space="preserve">Real-world environment (from title)</t>
  </si>
  <si>
    <t xml:space="preserve">Check origin</t>
  </si>
  <si>
    <t xml:space="preserve">Tomato Leaf Image Dataset (TLID/PTLID)</t>
  </si>
  <si>
    <t xml:space="preserve">https://data.mendeley.com/datasets/kt64b2kh89/1</t>
  </si>
  <si>
    <t xml:space="preserve">Tomato Leaf Dataset</t>
  </si>
  <si>
    <t xml:space="preserve">https://data.mendeley.com/datasets/rv3kxfv47y/1</t>
  </si>
  <si>
    <t xml:space="preserve">Brinjal</t>
  </si>
  <si>
    <t xml:space="preserve">Brinjal (Eggplant) Leaf Disease Image Dataset</t>
  </si>
  <si>
    <t xml:space="preserve">https://data.mendeley.com/datasets/6k94t3fydy/1</t>
  </si>
  <si>
    <t xml:space="preserve">Page returned 403</t>
  </si>
  <si>
    <t xml:space="preserve">Open manually</t>
  </si>
  <si>
    <t xml:space="preserve">Eggplant Leaf Disease Dataset</t>
  </si>
  <si>
    <t xml:space="preserve">https://data.mendeley.com/datasets/mn8vfr9bw2/2</t>
  </si>
  <si>
    <t xml:space="preserve">Comprehensive eggplant leaf disease dataset (paper)</t>
  </si>
  <si>
    <t xml:space="preserve">https://pmc.ncbi.nlm.nih.gov/articles/PMC11870215/</t>
  </si>
  <si>
    <t xml:space="preserve">Data in Brief 2025</t>
  </si>
  <si>
    <t xml:space="preserve">Check origin and repository</t>
  </si>
  <si>
    <t xml:space="preserve">VegNet cauliflower dataset</t>
  </si>
  <si>
    <t xml:space="preserve">https://data.mendeley.com/datasets/t5sssfgn2v/3</t>
  </si>
  <si>
    <t xml:space="preserve">Bangladesh (per paper)</t>
  </si>
  <si>
    <t xml:space="preserve">Compare with Tamil Nadu Multi-Crop cauliflower</t>
  </si>
  <si>
    <t xml:space="preserve">Cauliflower Leaf Diseases: A Computer Vision Dataset</t>
  </si>
  <si>
    <t xml:space="preserve">https://data.mendeley.com/datasets/x995snz7p3/1</t>
  </si>
  <si>
    <t xml:space="preserve">BananaLSD (Banana Leaf Spot Diseases)</t>
  </si>
  <si>
    <t xml:space="preserve">https://data.mendeley.com/datasets/9tb7k297ff/1</t>
  </si>
  <si>
    <t xml:space="preserve">Possible Tier 2 banana source</t>
  </si>
  <si>
    <t xml:space="preserve">Field-captured banana plants across growth stages and early disease</t>
  </si>
  <si>
    <t xml:space="preserve">https://data.mendeley.com/datasets/428ysdybvd/1</t>
  </si>
  <si>
    <t xml:space="preserve">SAR-MLD1-2025 mango leaf dataset</t>
  </si>
  <si>
    <t xml:space="preserve">https://data.mendeley.com/datasets/sd8hzpg69b/3</t>
  </si>
  <si>
    <t xml:space="preserve">Turmeric Plant Disease Dataset</t>
  </si>
  <si>
    <t xml:space="preserve">https://data.mendeley.com/datasets/g46dvrcvwn/2</t>
  </si>
  <si>
    <t xml:space="preserve">Open manually; check if Indian</t>
  </si>
  <si>
    <t xml:space="preserve">Betel leaf</t>
  </si>
  <si>
    <t xml:space="preserve">Comprehensive Betel Leaf Disease Dataset</t>
  </si>
  <si>
    <t xml:space="preserve">https://data.mendeley.com/datasets/vpzkntzjty/1</t>
  </si>
  <si>
    <t xml:space="preserve">Indian Tea Leaves: Helopeltis and Red Spider (preprocessed)</t>
  </si>
  <si>
    <t xml:space="preserve">https://data.mendeley.com/datasets/jm378tjnrt/1</t>
  </si>
  <si>
    <t xml:space="preserve">India; pest damage classes (from title)</t>
  </si>
  <si>
    <t xml:space="preserve">Compare with CS-D</t>
  </si>
  <si>
    <t xml:space="preserve">Guava</t>
  </si>
  <si>
    <t xml:space="preserve">Guava Leaf Disease Analysis Dataset (GLDAD)</t>
  </si>
  <si>
    <t xml:space="preserve">https://data.mendeley.com/datasets/rp2csdzxgr/1</t>
  </si>
  <si>
    <t xml:space="preserve">Guava fruits and leaves disease dataset</t>
  </si>
  <si>
    <t xml:space="preserve">https://data.mendeley.com/datasets/fspx44mwfp/1</t>
  </si>
  <si>
    <t xml:space="preserve">Pomegranate</t>
  </si>
  <si>
    <t xml:space="preserve">Pomegranate fruit diseases dataset (fruit, not leaf)</t>
  </si>
  <si>
    <t xml:space="preserve">https://pmc.ncbi.nlm.nih.gov/articles/PMC11220843/</t>
  </si>
  <si>
    <t xml:space="preserve">Fruit images</t>
  </si>
  <si>
    <t xml:space="preserve">Only if fruit scope is added</t>
  </si>
  <si>
    <t xml:space="preserve">Black Gram Leaf Image Dataset for Disease Detection in Field Conditions</t>
  </si>
  <si>
    <t xml:space="preserve">https://data.mendeley.com/datasets/45djgf3p96/1</t>
  </si>
  <si>
    <t xml:space="preserve">Field conditions (from title)</t>
  </si>
  <si>
    <t xml:space="preserve">Check origin and classes</t>
  </si>
  <si>
    <t xml:space="preserve">Yellow Vein Mosaic Disease (Kaggle)</t>
  </si>
  <si>
    <t xml:space="preserve">https://www.kaggle.com/datasets/manojgadde/yellow-vein-mosaic-disease</t>
  </si>
  <si>
    <t xml:space="preserve">Could fill the YVMV gap in Okra DiseaseNet</t>
  </si>
  <si>
    <t xml:space="preserve">Bottle gourd</t>
  </si>
  <si>
    <t xml:space="preserve">A Dataset for Classification of Bottle Gourd Leaf Diseases</t>
  </si>
  <si>
    <t xml:space="preserve">https://data.mendeley.com/datasets/m9nmyp7r6h/1</t>
  </si>
  <si>
    <t xml:space="preserve">Sunflower</t>
  </si>
  <si>
    <t xml:space="preserve">Sunflower fruits and leaves disease dataset</t>
  </si>
  <si>
    <t xml:space="preserve">https://data.mendeley.com/datasets/b83hmrzth8/1</t>
  </si>
  <si>
    <t xml:space="preserve">Low priority</t>
  </si>
  <si>
    <t xml:space="preserve">Lentil</t>
  </si>
  <si>
    <t xml:space="preserve">Lentil plant disease and quality dataset (paper)</t>
  </si>
  <si>
    <t xml:space="preserve">https://pmc.ncbi.nlm.nih.gov/articles/PMC11846420/</t>
  </si>
  <si>
    <t xml:space="preserve">A Dataset of Cotton Leaf Images for Disease Detection</t>
  </si>
  <si>
    <t xml:space="preserve">https://data.mendeley.com/datasets/6b2wxbs9cv/2</t>
  </si>
  <si>
    <t xml:space="preserve">Classes and origin not listed on page</t>
  </si>
  <si>
    <t xml:space="preserve">Open files to inspect</t>
  </si>
  <si>
    <t xml:space="preserve">Cotton; Soybean</t>
  </si>
  <si>
    <t xml:space="preserve">Cotton and Soybean leaf dataset generation (Bhujade 2025)</t>
  </si>
  <si>
    <t xml:space="preserve">https://onlinelibrary.wiley.com/doi/10.1111/jph.70051</t>
  </si>
  <si>
    <t xml:space="preserve">Check if images are released</t>
  </si>
  <si>
    <t xml:space="preserve">Grapes leaf disease dataset for precision agriculture (paper)</t>
  </si>
  <si>
    <t xml:space="preserve">https://pmc.ncbi.nlm.nih.gov/articles/PMC12210286/</t>
  </si>
  <si>
    <t xml:space="preserve">Compare with NGLD</t>
  </si>
  <si>
    <t xml:space="preserve">Multi (govt)</t>
  </si>
  <si>
    <t xml:space="preserve">CROPIC dataset on AIKosh (IndiaAI)</t>
  </si>
  <si>
    <t xml:space="preserve">https://aikosh.indiaai.gov.in/home/datasets/details/cropic_dataset.html</t>
  </si>
  <si>
    <t xml:space="preserve">Page is JavaScript-only; content not readable</t>
  </si>
  <si>
    <t xml:space="preserve">Open in browser; government crop photo dataset</t>
  </si>
  <si>
    <t xml:space="preserve">URL</t>
  </si>
  <si>
    <t xml:space="preserve">Type</t>
  </si>
  <si>
    <t xml:space="preserve">Used For (Crop / Dataset)</t>
  </si>
  <si>
    <t xml:space="preserve">Host</t>
  </si>
  <si>
    <t xml:space="preserve">Dataset (Mendeley Data)</t>
  </si>
  <si>
    <t xml:space="preserve">New crop - COLD - Chilli leaf dataset</t>
  </si>
  <si>
    <t xml:space="preserve">data.mendeley.com</t>
  </si>
  <si>
    <t xml:space="preserve">Research paper</t>
  </si>
  <si>
    <t xml:space="preserve">New crop - COLD - Chilli leaf dataset; New crop - COLD - Onion leaf dataset</t>
  </si>
  <si>
    <t xml:space="preserve">pmc.ncbi.nlm.nih.gov</t>
  </si>
  <si>
    <t xml:space="preserve">New crop - COLD - Onion leaf dataset</t>
  </si>
  <si>
    <t xml:space="preserve">New crop - CS-D - Tea leaf disease dataset (Assam)</t>
  </si>
  <si>
    <t xml:space="preserve">sciencedirect.com</t>
  </si>
  <si>
    <t xml:space="preserve">New crop - MH-SoyaHealthVision (leaf + UAV)</t>
  </si>
  <si>
    <t xml:space="preserve">New crop - SoyNet - Indian soybean leaf dataset</t>
  </si>
  <si>
    <t xml:space="preserve">New crop - Indigenous Dataset for Apple Leaf Disease Detection</t>
  </si>
  <si>
    <t xml:space="preserve">New crop - Niphad Grape Leaf Disease Dataset (NGLD)</t>
  </si>
  <si>
    <t xml:space="preserve">New crop - Multi-Crop Disease Dataset (Tamil Nadu)</t>
  </si>
  <si>
    <t xml:space="preserve">New crop - Novel groundnut leaf dataset</t>
  </si>
  <si>
    <t xml:space="preserve">New crop - Dataset of groundnut plant leaf images for classification and detection</t>
  </si>
  <si>
    <t xml:space="preserve">New crop - Blackgram Plant Leaf Disease (BPLD)</t>
  </si>
  <si>
    <t xml:space="preserve">New crop - IDBGL - Image dataset of black gram leaves</t>
  </si>
  <si>
    <t xml:space="preserve">New crop - Okra DiseaseNet</t>
  </si>
  <si>
    <t xml:space="preserve">pubmed.ncbi.nlm.nih.gov</t>
  </si>
  <si>
    <t xml:space="preserve">Code / data repository</t>
  </si>
  <si>
    <t xml:space="preserve">New crop - Tomato-Village</t>
  </si>
  <si>
    <t xml:space="preserve">github.com</t>
  </si>
  <si>
    <t xml:space="preserve">link.springer.com</t>
  </si>
  <si>
    <t xml:space="preserve">New crop - Cotton Leaf Disease Dataset with Severity Levels</t>
  </si>
  <si>
    <t xml:space="preserve">New crop - Cotton Leaf Image Dataset for Disease Classification</t>
  </si>
  <si>
    <t xml:space="preserve">New crop - SAR-CLD-2024 cotton leaf disease dataset</t>
  </si>
  <si>
    <t xml:space="preserve">New crop - Chilli Leaf Disease Image Dataset</t>
  </si>
  <si>
    <t xml:space="preserve">New crop - Mango Leaf Disease Dataset</t>
  </si>
  <si>
    <t xml:space="preserve">New crop - MangoLeafBD</t>
  </si>
  <si>
    <t xml:space="preserve">New crop - Image Dataset for Turmeric Plant Leaf Disease Detection</t>
  </si>
  <si>
    <t xml:space="preserve">New crop - Leaf Image Dataset for Plant Disease Classification and Agricultural Analysis</t>
  </si>
  <si>
    <t xml:space="preserve">Expand existing crop - Paddy Doctor</t>
  </si>
  <si>
    <t xml:space="preserve">paddydoc.github.io</t>
  </si>
  <si>
    <t xml:space="preserve">arxiv.org</t>
  </si>
  <si>
    <t xml:space="preserve">Expand existing crop - Sugarcane Leaf Disease Dataset (SPPU)</t>
  </si>
  <si>
    <t xml:space="preserve">Gap - HDMLS - Healthy-Disease Mustard Leaf Set</t>
  </si>
  <si>
    <t xml:space="preserve">jisem-journal.com</t>
  </si>
  <si>
    <t xml:space="preserve">Dataset (Kaggle)</t>
  </si>
  <si>
    <t xml:space="preserve">Gap - Fusarium Wilt Disease in Chickpea (FUSARIUM-22)</t>
  </si>
  <si>
    <t xml:space="preserve">kaggle.com</t>
  </si>
  <si>
    <t xml:space="preserve">Gap - Sorghum Disease Image Dataset</t>
  </si>
  <si>
    <t xml:space="preserve">Gap - Arecanut Disease Detection Dataset (6 classes)</t>
  </si>
  <si>
    <t xml:space="preserve">Dataset (IEEE DataPort)</t>
  </si>
  <si>
    <t xml:space="preserve">ieee-dataport.org</t>
  </si>
  <si>
    <t xml:space="preserve">Gap - PlantDoc</t>
  </si>
  <si>
    <t xml:space="preserve">Gap - Banana Leaf Disease Images</t>
  </si>
  <si>
    <t xml:space="preserve">Gap - Coconut Tree Disease Dataset</t>
  </si>
  <si>
    <t xml:space="preserve">Gap - No public dataset found</t>
  </si>
  <si>
    <t xml:space="preserve">iopscience.iop.org</t>
  </si>
  <si>
    <t xml:space="preserve">Gap - Top Agriculture Crop Disease India (Kaggle)</t>
  </si>
  <si>
    <t xml:space="preserve">Chilli - Chili Leaf Disease Dataset (Bangladesh, smartphone) (lead)</t>
  </si>
  <si>
    <t xml:space="preserve">Chilli - Chili Plant Leaf Disease and Growth Stage Dataset (lead)</t>
  </si>
  <si>
    <t xml:space="preserve">Tomato; Chilli; Papaya - TCP (Tomato-Chilli-Papaya Fruit and Leaf) Disease Dataset (lead)</t>
  </si>
  <si>
    <t xml:space="preserve">Tomato - Tomato Leaf Image Dataset for Disease Analysis in Real-World Environment (lead)</t>
  </si>
  <si>
    <t xml:space="preserve">Tomato - Tomato Leaf Image Dataset (TLID/PTLID) (lead)</t>
  </si>
  <si>
    <t xml:space="preserve">Tomato - Tomato Leaf Dataset (lead)</t>
  </si>
  <si>
    <t xml:space="preserve">Brinjal - Brinjal (Eggplant) Leaf Disease Image Dataset (lead)</t>
  </si>
  <si>
    <t xml:space="preserve">Brinjal - Eggplant Leaf Disease Dataset (lead)</t>
  </si>
  <si>
    <t xml:space="preserve">Brinjal - Comprehensive eggplant leaf disease dataset (paper) (lead)</t>
  </si>
  <si>
    <t xml:space="preserve">Cauliflower - VegNet cauliflower dataset (lead)</t>
  </si>
  <si>
    <t xml:space="preserve">Cauliflower - Cauliflower Leaf Diseases: A Computer Vision Dataset (lead)</t>
  </si>
  <si>
    <t xml:space="preserve">Banana - BananaLSD (Banana Leaf Spot Diseases) (lead)</t>
  </si>
  <si>
    <t xml:space="preserve">Banana - Field-captured banana plants across growth stages and early disease (lead)</t>
  </si>
  <si>
    <t xml:space="preserve">Mango - SAR-MLD1-2025 mango leaf dataset (lead)</t>
  </si>
  <si>
    <t xml:space="preserve">Turmeric - Turmeric Plant Disease Dataset (lead)</t>
  </si>
  <si>
    <t xml:space="preserve">Betel leaf - Comprehensive Betel Leaf Disease Dataset (lead)</t>
  </si>
  <si>
    <t xml:space="preserve">Tea - Indian Tea Leaves: Helopeltis and Red Spider (preprocessed) (lead)</t>
  </si>
  <si>
    <t xml:space="preserve">Guava - Guava Leaf Disease Analysis Dataset (GLDAD) (lead)</t>
  </si>
  <si>
    <t xml:space="preserve">Guava - Guava fruits and leaves disease dataset (lead)</t>
  </si>
  <si>
    <t xml:space="preserve">Pomegranate - Pomegranate fruit diseases dataset (fruit, not leaf) (lead)</t>
  </si>
  <si>
    <t xml:space="preserve">Black gram - Black Gram Leaf Image Dataset for Disease Detection in Field Conditions (lead)</t>
  </si>
  <si>
    <t xml:space="preserve">Okra - Yellow Vein Mosaic Disease (Kaggle) (lead)</t>
  </si>
  <si>
    <t xml:space="preserve">Bottle gourd - A Dataset for Classification of Bottle Gourd Leaf Diseases (lead)</t>
  </si>
  <si>
    <t xml:space="preserve">Sunflower - Sunflower fruits and leaves disease dataset (lead)</t>
  </si>
  <si>
    <t xml:space="preserve">Lentil - Lentil plant disease and quality dataset (paper) (lead)</t>
  </si>
  <si>
    <t xml:space="preserve">Cotton - A Dataset of Cotton Leaf Images for Disease Detection (lead)</t>
  </si>
  <si>
    <t xml:space="preserve">Cotton; Soybean - Cotton and Soybean leaf dataset generation (Bhujade 2025) (lead)</t>
  </si>
  <si>
    <t xml:space="preserve">onlinelibrary.wiley.com</t>
  </si>
  <si>
    <t xml:space="preserve">Grape - Grapes leaf disease dataset for precision agriculture (paper) (lead)</t>
  </si>
  <si>
    <t xml:space="preserve">Dataset portal (Govt of India)</t>
  </si>
  <si>
    <t xml:space="preserve">Multi (govt) - CROPIC dataset on AIKosh (IndiaAI) (lead)</t>
  </si>
  <si>
    <t xml:space="preserve">aikosh.indiaai.gov.in</t>
  </si>
  <si>
    <t xml:space="preserve">https://www.kaggle.com/datasets/mamtag/tomato-village</t>
  </si>
  <si>
    <t xml:space="preserve">Tomato - Tomato-Village (Kaggle mirror)</t>
  </si>
  <si>
    <t xml:space="preserve">https://ieee-dataport.org/documents/paddy-doctor-visual-image-dataset-automated-paddy-disease-classification-and-benchmarking</t>
  </si>
  <si>
    <t xml:space="preserve">Rice - Paddy Doctor</t>
  </si>
  <si>
    <t xml:space="preserve">https://aikosh.indiaai.gov.in/</t>
  </si>
  <si>
    <t xml:space="preserve">AIKosh home (IndiaAI dataset platform)</t>
  </si>
  <si>
    <t xml:space="preserve">https://data.mendeley.com/datasets/gh56wbsnj5/1</t>
  </si>
  <si>
    <t xml:space="preserve">Coconut - Coconut Tree Disease Dataset (Mendeley mirror)</t>
  </si>
  <si>
    <t xml:space="preserve">Context data source</t>
  </si>
  <si>
    <t xml:space="preserve">Open-Meteo Forecast API (Free / Open-Access tier) - Open-Meteo</t>
  </si>
  <si>
    <t xml:space="preserve">open-meteo.com</t>
  </si>
  <si>
    <t xml:space="preserve">ERA5-Land Daily Aggregated - ECMWF / Copernicus (via Earth Engine)</t>
  </si>
  <si>
    <t xml:space="preserve">developers.google.com</t>
  </si>
  <si>
    <t xml:space="preserve">CHIRPS Daily rainfall - Climate Hazards Center, UCSB (via Earth Engine)</t>
  </si>
  <si>
    <t xml:space="preserve">NASA POWER - NASA Langley Research Center</t>
  </si>
  <si>
    <t xml:space="preserve">power.larc.nasa.gov</t>
  </si>
  <si>
    <t xml:space="preserve">IMD gridded rainfall, Tmin, Tmax (via IMDLIB) - India Meteorological Department, Pune</t>
  </si>
  <si>
    <t xml:space="preserve">imdlib.readthedocs.io</t>
  </si>
  <si>
    <t xml:space="preserve">SoilGrids 250m v2.0 - ISRIC World Soil Information</t>
  </si>
  <si>
    <t xml:space="preserve">docs.isric.org</t>
  </si>
  <si>
    <t xml:space="preserve">isric.org</t>
  </si>
  <si>
    <t xml:space="preserve">Soil Health Card nutrient dashboard - Dept. of Agriculture and Farmers Welfare, Govt of India</t>
  </si>
  <si>
    <t xml:space="preserve">soilhealth.dac.gov.in</t>
  </si>
  <si>
    <t xml:space="preserve">Sentinel-2 L2A (COPERNICUS/S2_SR_HARMONIZED) - ESA Copernicus (via Earth Engine)</t>
  </si>
  <si>
    <t xml:space="preserve">ESA WorldCover v200 - ESA (via Earth Engine)</t>
  </si>
  <si>
    <t xml:space="preserve">Google Agricultural Understanding: ALU + AMED - Google</t>
  </si>
  <si>
    <t xml:space="preserve">TNAU Agritech Portal: Crop Protection - Tamil Nadu Agricultural University</t>
  </si>
  <si>
    <t xml:space="preserve">agritech.tnau.ac.in</t>
  </si>
  <si>
    <t xml:space="preserve">INDO-BLIGHTCAST (potato late blight model) - ICAR-Central Potato Research Institute</t>
  </si>
  <si>
    <t xml:space="preserve">tandfonline.com</t>
  </si>
  <si>
    <t xml:space="preserve">researchgate.net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</si>
</sst>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;\-#,##0;&quot;Not published&quot;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3D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F4E3D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10"/>
      <color rgb="FF88888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2F0D9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DEDED"/>
      </patternFill>
    </fill>
    <fill>
      <patternFill patternType="solid">
        <fgColor rgb="FFF8CBAD"/>
        <bgColor rgb="FFFFC7CE"/>
      </patternFill>
    </fill>
    <fill>
      <patternFill patternType="solid">
        <fgColor rgb="FF1F4E3D"/>
        <bgColor rgb="FF003366"/>
      </patternFill>
    </fill>
    <fill>
      <patternFill patternType="solid">
        <fgColor rgb="FFC6EFCE"/>
        <bgColor rgb="FFE2F0D9"/>
      </patternFill>
    </fill>
    <fill>
      <patternFill patternType="solid">
        <fgColor rgb="FFFFEB9C"/>
        <bgColor rgb="FFFFF2CC"/>
      </patternFill>
    </fill>
    <fill>
      <patternFill patternType="solid">
        <fgColor rgb="FFEDEDED"/>
        <bgColor rgb="FFE2F0D9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4E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88888"/>
      <rgbColor rgb="FF9999FF"/>
      <rgbColor rgb="FF993366"/>
      <rgbColor rgb="FFFFF2CC"/>
      <rgbColor rgb="FFDDEBF7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EB9C"/>
      <rgbColor rgb="FFEDEDED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ata.mendeley.com/datasets/tf9dtfz9m6/3" TargetMode="External"/><Relationship Id="rId2" Type="http://schemas.openxmlformats.org/officeDocument/2006/relationships/hyperlink" Target="https://pmc.ncbi.nlm.nih.gov/articles/PMC11170091/" TargetMode="External"/><Relationship Id="rId3" Type="http://schemas.openxmlformats.org/officeDocument/2006/relationships/hyperlink" Target="https://data.mendeley.com/datasets/7nxxn4gj5s/3" TargetMode="External"/><Relationship Id="rId4" Type="http://schemas.openxmlformats.org/officeDocument/2006/relationships/hyperlink" Target="https://pmc.ncbi.nlm.nih.gov/articles/PMC11170091/" TargetMode="External"/><Relationship Id="rId5" Type="http://schemas.openxmlformats.org/officeDocument/2006/relationships/hyperlink" Target="https://data.mendeley.com/datasets/94fzcdz8gz/1" TargetMode="External"/><Relationship Id="rId6" Type="http://schemas.openxmlformats.org/officeDocument/2006/relationships/hyperlink" Target="https://www.sciencedirect.com/science/article/pii/S2352340925009722" TargetMode="External"/><Relationship Id="rId7" Type="http://schemas.openxmlformats.org/officeDocument/2006/relationships/hyperlink" Target="https://data.mendeley.com/datasets/hkbgh5s3b7/1" TargetMode="External"/><Relationship Id="rId8" Type="http://schemas.openxmlformats.org/officeDocument/2006/relationships/hyperlink" Target="https://www.sciencedirect.com/science/article/pii/S2352340925002495" TargetMode="External"/><Relationship Id="rId9" Type="http://schemas.openxmlformats.org/officeDocument/2006/relationships/hyperlink" Target="https://data.mendeley.com/datasets/w2r855hpx8/2" TargetMode="External"/><Relationship Id="rId10" Type="http://schemas.openxmlformats.org/officeDocument/2006/relationships/hyperlink" Target="https://pmc.ncbi.nlm.nih.gov/articles/PMC10415694/" TargetMode="External"/><Relationship Id="rId11" Type="http://schemas.openxmlformats.org/officeDocument/2006/relationships/hyperlink" Target="https://data.mendeley.com/datasets/9m2dcb5mmr/3" TargetMode="External"/><Relationship Id="rId12" Type="http://schemas.openxmlformats.org/officeDocument/2006/relationships/hyperlink" Target="https://data.mendeley.com/datasets/8nnd2ypcv3/1" TargetMode="External"/><Relationship Id="rId13" Type="http://schemas.openxmlformats.org/officeDocument/2006/relationships/hyperlink" Target="https://data.mendeley.com/datasets/6243z8r6t6/1" TargetMode="External"/><Relationship Id="rId14" Type="http://schemas.openxmlformats.org/officeDocument/2006/relationships/hyperlink" Target="https://data.mendeley.com/datasets/x6x5jkk873/2" TargetMode="External"/><Relationship Id="rId15" Type="http://schemas.openxmlformats.org/officeDocument/2006/relationships/hyperlink" Target="https://pmc.ncbi.nlm.nih.gov/articles/PMC11327543/" TargetMode="External"/><Relationship Id="rId16" Type="http://schemas.openxmlformats.org/officeDocument/2006/relationships/hyperlink" Target="https://data.mendeley.com/datasets/22p2vcbxfk/3" TargetMode="External"/><Relationship Id="rId17" Type="http://schemas.openxmlformats.org/officeDocument/2006/relationships/hyperlink" Target="https://pmc.ncbi.nlm.nih.gov/articles/PMC10293989/" TargetMode="External"/><Relationship Id="rId18" Type="http://schemas.openxmlformats.org/officeDocument/2006/relationships/hyperlink" Target="https://data.mendeley.com/datasets/zfcv9fmrgv/3" TargetMode="External"/><Relationship Id="rId19" Type="http://schemas.openxmlformats.org/officeDocument/2006/relationships/hyperlink" Target="https://pmc.ncbi.nlm.nih.gov/articles/PMC9679724/" TargetMode="External"/><Relationship Id="rId20" Type="http://schemas.openxmlformats.org/officeDocument/2006/relationships/hyperlink" Target="https://data.mendeley.com/datasets/z55yrbmn2d/3" TargetMode="External"/><Relationship Id="rId21" Type="http://schemas.openxmlformats.org/officeDocument/2006/relationships/hyperlink" Target="https://pmc.ncbi.nlm.nih.gov/articles/PMC11847223/" TargetMode="External"/><Relationship Id="rId22" Type="http://schemas.openxmlformats.org/officeDocument/2006/relationships/hyperlink" Target="https://data.mendeley.com/datasets/nh7zk4hv8z/1" TargetMode="External"/><Relationship Id="rId23" Type="http://schemas.openxmlformats.org/officeDocument/2006/relationships/hyperlink" Target="https://pubmed.ncbi.nlm.nih.gov/40687361/" TargetMode="External"/><Relationship Id="rId24" Type="http://schemas.openxmlformats.org/officeDocument/2006/relationships/hyperlink" Target="https://github.com/mamta-joshi-gehlot/Tomato-Village" TargetMode="External"/><Relationship Id="rId25" Type="http://schemas.openxmlformats.org/officeDocument/2006/relationships/hyperlink" Target="https://link.springer.com/article/10.1007/s00530-023-01158-y" TargetMode="External"/><Relationship Id="rId26" Type="http://schemas.openxmlformats.org/officeDocument/2006/relationships/hyperlink" Target="https://data.mendeley.com/datasets/74jsdxtmx2/1" TargetMode="External"/><Relationship Id="rId27" Type="http://schemas.openxmlformats.org/officeDocument/2006/relationships/hyperlink" Target="https://data.mendeley.com/datasets/t9hgvk2h9p/1" TargetMode="External"/><Relationship Id="rId28" Type="http://schemas.openxmlformats.org/officeDocument/2006/relationships/hyperlink" Target="https://pmc.ncbi.nlm.nih.gov/articles/PMC12557508/" TargetMode="External"/><Relationship Id="rId29" Type="http://schemas.openxmlformats.org/officeDocument/2006/relationships/hyperlink" Target="https://data.mendeley.com/datasets/b3jy2p6k8w/2" TargetMode="External"/><Relationship Id="rId30" Type="http://schemas.openxmlformats.org/officeDocument/2006/relationships/hyperlink" Target="https://www.sciencedirect.com/science/article/pii/S235234092400876X" TargetMode="External"/><Relationship Id="rId31" Type="http://schemas.openxmlformats.org/officeDocument/2006/relationships/hyperlink" Target="https://data.mendeley.com/datasets/tm3v4zmh7c/1" TargetMode="External"/><Relationship Id="rId32" Type="http://schemas.openxmlformats.org/officeDocument/2006/relationships/hyperlink" Target="https://data.mendeley.com/datasets/7ghdbftp54/1" TargetMode="External"/><Relationship Id="rId33" Type="http://schemas.openxmlformats.org/officeDocument/2006/relationships/hyperlink" Target="https://data.mendeley.com/datasets/hxsnvwty3r/1" TargetMode="External"/><Relationship Id="rId34" Type="http://schemas.openxmlformats.org/officeDocument/2006/relationships/hyperlink" Target="https://pmc.ncbi.nlm.nih.gov/articles/PMC9932726/" TargetMode="External"/><Relationship Id="rId35" Type="http://schemas.openxmlformats.org/officeDocument/2006/relationships/hyperlink" Target="https://data.mendeley.com/datasets/jtttfbx342/1" TargetMode="External"/><Relationship Id="rId36" Type="http://schemas.openxmlformats.org/officeDocument/2006/relationships/hyperlink" Target="https://data.mendeley.com/datasets/hgshn2zg3t/1" TargetMode="External"/><Relationship Id="rId37" Type="http://schemas.openxmlformats.org/officeDocument/2006/relationships/hyperlink" Target="https://paddydoc.github.io/dataset/" TargetMode="External"/><Relationship Id="rId38" Type="http://schemas.openxmlformats.org/officeDocument/2006/relationships/hyperlink" Target="https://arxiv.org/abs/2205.11108" TargetMode="External"/><Relationship Id="rId39" Type="http://schemas.openxmlformats.org/officeDocument/2006/relationships/hyperlink" Target="https://data.mendeley.com/datasets/9424skmnrk/1" TargetMode="External"/><Relationship Id="rId40" Type="http://schemas.openxmlformats.org/officeDocument/2006/relationships/hyperlink" Target="https://jisem-journal.com/index.php/journal/article/view/2872" TargetMode="External"/><Relationship Id="rId41" Type="http://schemas.openxmlformats.org/officeDocument/2006/relationships/hyperlink" Target="https://www.kaggle.com/datasets/tolgahayit/fusarium-wilt-disease-in-chickpea-dataset" TargetMode="External"/><Relationship Id="rId42" Type="http://schemas.openxmlformats.org/officeDocument/2006/relationships/hyperlink" Target="https://data.mendeley.com/datasets/fgb3cmfrg2/1" TargetMode="External"/><Relationship Id="rId43" Type="http://schemas.openxmlformats.org/officeDocument/2006/relationships/hyperlink" Target="https://github.com/BeenaPradeep/ARECANUT-DATASET" TargetMode="External"/><Relationship Id="rId44" Type="http://schemas.openxmlformats.org/officeDocument/2006/relationships/hyperlink" Target="https://ieee-dataport.org/documents/arecanut-disease-detection-dataset-6-classes-field-images-karnataka-india" TargetMode="External"/><Relationship Id="rId45" Type="http://schemas.openxmlformats.org/officeDocument/2006/relationships/hyperlink" Target="https://github.com/pratikkayal/PlantDoc-Dataset" TargetMode="External"/><Relationship Id="rId46" Type="http://schemas.openxmlformats.org/officeDocument/2006/relationships/hyperlink" Target="https://arxiv.org/pdf/1911.10317" TargetMode="External"/><Relationship Id="rId47" Type="http://schemas.openxmlformats.org/officeDocument/2006/relationships/hyperlink" Target="https://data.mendeley.com/datasets/rjykr62kdh/1" TargetMode="External"/><Relationship Id="rId48" Type="http://schemas.openxmlformats.org/officeDocument/2006/relationships/hyperlink" Target="https://www.kaggle.com/datasets/nagabushan/coconut-tree-disease-dataset" TargetMode="External"/><Relationship Id="rId49" Type="http://schemas.openxmlformats.org/officeDocument/2006/relationships/hyperlink" Target="https://www.sciencedirect.com/science/article/pii/S2352340923007692" TargetMode="External"/><Relationship Id="rId50" Type="http://schemas.openxmlformats.org/officeDocument/2006/relationships/hyperlink" Target="https://iopscience.iop.org/article/10.1088/2515-7620/ad8415" TargetMode="External"/><Relationship Id="rId51" Type="http://schemas.openxmlformats.org/officeDocument/2006/relationships/hyperlink" Target="https://www.kaggle.com/datasets/kamal01/top-agriculture-crop-disease" TargetMode="External"/><Relationship Id="rId52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open-meteo.com/en/terms" TargetMode="External"/><Relationship Id="rId2" Type="http://schemas.openxmlformats.org/officeDocument/2006/relationships/hyperlink" Target="https://open-meteo.com/en/pricing" TargetMode="External"/><Relationship Id="rId3" Type="http://schemas.openxmlformats.org/officeDocument/2006/relationships/hyperlink" Target="https://developers.google.com/earth-engine/datasets/catalog/ECMWF_ERA5_LAND_DAILY_AGGR" TargetMode="External"/><Relationship Id="rId4" Type="http://schemas.openxmlformats.org/officeDocument/2006/relationships/hyperlink" Target="https://developers.google.com/earth-engine/datasets/catalog/UCSB-CHG_CHIRPS_DAILY" TargetMode="External"/><Relationship Id="rId5" Type="http://schemas.openxmlformats.org/officeDocument/2006/relationships/hyperlink" Target="https://power.larc.nasa.gov/" TargetMode="External"/><Relationship Id="rId6" Type="http://schemas.openxmlformats.org/officeDocument/2006/relationships/hyperlink" Target="https://power.larc.nasa.gov/docs/services/api/" TargetMode="External"/><Relationship Id="rId7" Type="http://schemas.openxmlformats.org/officeDocument/2006/relationships/hyperlink" Target="https://imdlib.readthedocs.io/en/latest/Usage.html" TargetMode="External"/><Relationship Id="rId8" Type="http://schemas.openxmlformats.org/officeDocument/2006/relationships/hyperlink" Target="https://github.com/iamsaswata/imdlib" TargetMode="External"/><Relationship Id="rId9" Type="http://schemas.openxmlformats.org/officeDocument/2006/relationships/hyperlink" Target="https://docs.isric.org/globaldata/soilgrids/access_on_gee.html" TargetMode="External"/><Relationship Id="rId10" Type="http://schemas.openxmlformats.org/officeDocument/2006/relationships/hyperlink" Target="https://www.isric.org/explore/soilgrids" TargetMode="External"/><Relationship Id="rId11" Type="http://schemas.openxmlformats.org/officeDocument/2006/relationships/hyperlink" Target="https://www.soilhealth.dac.gov.in/nutrient-dashboard" TargetMode="External"/><Relationship Id="rId12" Type="http://schemas.openxmlformats.org/officeDocument/2006/relationships/hyperlink" Target="https://developers.google.com/earth-engine/guides/noncommercial_tiers" TargetMode="External"/><Relationship Id="rId13" Type="http://schemas.openxmlformats.org/officeDocument/2006/relationships/hyperlink" Target="https://developers.google.com/earth-engine/datasets/catalog/ESA_WorldCover_v200" TargetMode="External"/><Relationship Id="rId14" Type="http://schemas.openxmlformats.org/officeDocument/2006/relationships/hyperlink" Target="https://developers.google.com/agricultural-understanding/understanding-data" TargetMode="External"/><Relationship Id="rId15" Type="http://schemas.openxmlformats.org/officeDocument/2006/relationships/hyperlink" Target="https://developers.google.com/earth-engine/guides/noncommercial_tiers" TargetMode="External"/><Relationship Id="rId16" Type="http://schemas.openxmlformats.org/officeDocument/2006/relationships/hyperlink" Target="https://agritech.tnau.ac.in/crop_protection/crop_prot.html" TargetMode="External"/><Relationship Id="rId17" Type="http://schemas.openxmlformats.org/officeDocument/2006/relationships/hyperlink" Target="https://www.tandfonline.com/doi/abs/10.1080/09670874.2016.1210839" TargetMode="External"/><Relationship Id="rId18" Type="http://schemas.openxmlformats.org/officeDocument/2006/relationships/hyperlink" Target="https://www.researchgate.net/publication/306045270_INDO-BLIGHTCAST_-_a_model_for_forecasting_late_blight_across_agroecologies" TargetMode="External"/><Relationship Id="rId19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evelopers.google.com/earth-engine/guides/noncommercial_tiers" TargetMode="External"/><Relationship Id="rId2" Type="http://schemas.openxmlformats.org/officeDocument/2006/relationships/hyperlink" Target="https://developers.google.com/earth-engine/guides/noncommercial_tiers" TargetMode="External"/><Relationship Id="rId3" Type="http://schemas.openxmlformats.org/officeDocument/2006/relationships/hyperlink" Target="https://developers.google.com/earth-engine/guides/noncommercial_tiers" TargetMode="External"/><Relationship Id="rId4" Type="http://schemas.openxmlformats.org/officeDocument/2006/relationships/hyperlink" Target="https://open-meteo.com/en/terms" TargetMode="External"/><Relationship Id="rId5" Type="http://schemas.openxmlformats.org/officeDocument/2006/relationships/hyperlink" Target="https://imdlib.readthedocs.io/en/latest/Usage.html" TargetMode="External"/><Relationship Id="rId6" Type="http://schemas.openxmlformats.org/officeDocument/2006/relationships/hyperlink" Target="https://developers.google.com/agricultural-understanding/understanding-data" TargetMode="External"/><Relationship Id="rId7" Type="http://schemas.openxmlformats.org/officeDocument/2006/relationships/hyperlink" Target="https://www.researchgate.net/publication/306045270_INDO-BLIGHTCAST_-_a_model_for_forecasting_late_blight_across_agroecologies" TargetMode="External"/><Relationship Id="rId8" Type="http://schemas.openxmlformats.org/officeDocument/2006/relationships/hyperlink" Target="https://agritech.tnau.ac.in/crop_protection/crop_prot.html" TargetMode="External"/><Relationship Id="rId9" Type="http://schemas.openxmlformats.org/officeDocument/2006/relationships/hyperlink" Target="https://www.soilhealth.dac.gov.in/nutrient-dashboard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data.mendeley.com/datasets/wzc6r6w5w5/2" TargetMode="External"/><Relationship Id="rId2" Type="http://schemas.openxmlformats.org/officeDocument/2006/relationships/hyperlink" Target="https://data.mendeley.com/datasets/w9mr3vf56s/1" TargetMode="External"/><Relationship Id="rId3" Type="http://schemas.openxmlformats.org/officeDocument/2006/relationships/hyperlink" Target="https://data.mendeley.com/datasets/m4m6j2tjfj/2" TargetMode="External"/><Relationship Id="rId4" Type="http://schemas.openxmlformats.org/officeDocument/2006/relationships/hyperlink" Target="https://data.mendeley.com/datasets/rnbsw72zb5/1" TargetMode="External"/><Relationship Id="rId5" Type="http://schemas.openxmlformats.org/officeDocument/2006/relationships/hyperlink" Target="https://data.mendeley.com/datasets/kt64b2kh89/1" TargetMode="External"/><Relationship Id="rId6" Type="http://schemas.openxmlformats.org/officeDocument/2006/relationships/hyperlink" Target="https://data.mendeley.com/datasets/rv3kxfv47y/1" TargetMode="External"/><Relationship Id="rId7" Type="http://schemas.openxmlformats.org/officeDocument/2006/relationships/hyperlink" Target="https://data.mendeley.com/datasets/6k94t3fydy/1" TargetMode="External"/><Relationship Id="rId8" Type="http://schemas.openxmlformats.org/officeDocument/2006/relationships/hyperlink" Target="https://data.mendeley.com/datasets/mn8vfr9bw2/2" TargetMode="External"/><Relationship Id="rId9" Type="http://schemas.openxmlformats.org/officeDocument/2006/relationships/hyperlink" Target="https://pmc.ncbi.nlm.nih.gov/articles/PMC11870215/" TargetMode="External"/><Relationship Id="rId10" Type="http://schemas.openxmlformats.org/officeDocument/2006/relationships/hyperlink" Target="https://data.mendeley.com/datasets/t5sssfgn2v/3" TargetMode="External"/><Relationship Id="rId11" Type="http://schemas.openxmlformats.org/officeDocument/2006/relationships/hyperlink" Target="https://data.mendeley.com/datasets/x995snz7p3/1" TargetMode="External"/><Relationship Id="rId12" Type="http://schemas.openxmlformats.org/officeDocument/2006/relationships/hyperlink" Target="https://data.mendeley.com/datasets/9tb7k297ff/1" TargetMode="External"/><Relationship Id="rId13" Type="http://schemas.openxmlformats.org/officeDocument/2006/relationships/hyperlink" Target="https://data.mendeley.com/datasets/428ysdybvd/1" TargetMode="External"/><Relationship Id="rId14" Type="http://schemas.openxmlformats.org/officeDocument/2006/relationships/hyperlink" Target="https://data.mendeley.com/datasets/sd8hzpg69b/3" TargetMode="External"/><Relationship Id="rId15" Type="http://schemas.openxmlformats.org/officeDocument/2006/relationships/hyperlink" Target="https://data.mendeley.com/datasets/g46dvrcvwn/2" TargetMode="External"/><Relationship Id="rId16" Type="http://schemas.openxmlformats.org/officeDocument/2006/relationships/hyperlink" Target="https://data.mendeley.com/datasets/vpzkntzjty/1" TargetMode="External"/><Relationship Id="rId17" Type="http://schemas.openxmlformats.org/officeDocument/2006/relationships/hyperlink" Target="https://data.mendeley.com/datasets/jm378tjnrt/1" TargetMode="External"/><Relationship Id="rId18" Type="http://schemas.openxmlformats.org/officeDocument/2006/relationships/hyperlink" Target="https://data.mendeley.com/datasets/rp2csdzxgr/1" TargetMode="External"/><Relationship Id="rId19" Type="http://schemas.openxmlformats.org/officeDocument/2006/relationships/hyperlink" Target="https://data.mendeley.com/datasets/fspx44mwfp/1" TargetMode="External"/><Relationship Id="rId20" Type="http://schemas.openxmlformats.org/officeDocument/2006/relationships/hyperlink" Target="https://pmc.ncbi.nlm.nih.gov/articles/PMC11220843/" TargetMode="External"/><Relationship Id="rId21" Type="http://schemas.openxmlformats.org/officeDocument/2006/relationships/hyperlink" Target="https://data.mendeley.com/datasets/45djgf3p96/1" TargetMode="External"/><Relationship Id="rId22" Type="http://schemas.openxmlformats.org/officeDocument/2006/relationships/hyperlink" Target="https://www.kaggle.com/datasets/manojgadde/yellow-vein-mosaic-disease" TargetMode="External"/><Relationship Id="rId23" Type="http://schemas.openxmlformats.org/officeDocument/2006/relationships/hyperlink" Target="https://data.mendeley.com/datasets/m9nmyp7r6h/1" TargetMode="External"/><Relationship Id="rId24" Type="http://schemas.openxmlformats.org/officeDocument/2006/relationships/hyperlink" Target="https://data.mendeley.com/datasets/b83hmrzth8/1" TargetMode="External"/><Relationship Id="rId25" Type="http://schemas.openxmlformats.org/officeDocument/2006/relationships/hyperlink" Target="https://pmc.ncbi.nlm.nih.gov/articles/PMC11846420/" TargetMode="External"/><Relationship Id="rId26" Type="http://schemas.openxmlformats.org/officeDocument/2006/relationships/hyperlink" Target="https://data.mendeley.com/datasets/6b2wxbs9cv/2" TargetMode="External"/><Relationship Id="rId27" Type="http://schemas.openxmlformats.org/officeDocument/2006/relationships/hyperlink" Target="https://onlinelibrary.wiley.com/doi/10.1111/jph.70051" TargetMode="External"/><Relationship Id="rId28" Type="http://schemas.openxmlformats.org/officeDocument/2006/relationships/hyperlink" Target="https://pmc.ncbi.nlm.nih.gov/articles/PMC12210286/" TargetMode="External"/><Relationship Id="rId29" Type="http://schemas.openxmlformats.org/officeDocument/2006/relationships/hyperlink" Target="https://aikosh.indiaai.gov.in/home/datasets/details/cropic_dataset.html" TargetMode="External"/><Relationship Id="rId30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data.mendeley.com/datasets/tf9dtfz9m6/3" TargetMode="External"/><Relationship Id="rId2" Type="http://schemas.openxmlformats.org/officeDocument/2006/relationships/hyperlink" Target="https://pmc.ncbi.nlm.nih.gov/articles/PMC11170091/" TargetMode="External"/><Relationship Id="rId3" Type="http://schemas.openxmlformats.org/officeDocument/2006/relationships/hyperlink" Target="https://data.mendeley.com/datasets/7nxxn4gj5s/3" TargetMode="External"/><Relationship Id="rId4" Type="http://schemas.openxmlformats.org/officeDocument/2006/relationships/hyperlink" Target="https://data.mendeley.com/datasets/94fzcdz8gz/1" TargetMode="External"/><Relationship Id="rId5" Type="http://schemas.openxmlformats.org/officeDocument/2006/relationships/hyperlink" Target="https://www.sciencedirect.com/science/article/pii/S2352340925009722" TargetMode="External"/><Relationship Id="rId6" Type="http://schemas.openxmlformats.org/officeDocument/2006/relationships/hyperlink" Target="https://data.mendeley.com/datasets/hkbgh5s3b7/1" TargetMode="External"/><Relationship Id="rId7" Type="http://schemas.openxmlformats.org/officeDocument/2006/relationships/hyperlink" Target="https://www.sciencedirect.com/science/article/pii/S2352340925002495" TargetMode="External"/><Relationship Id="rId8" Type="http://schemas.openxmlformats.org/officeDocument/2006/relationships/hyperlink" Target="https://data.mendeley.com/datasets/w2r855hpx8/2" TargetMode="External"/><Relationship Id="rId9" Type="http://schemas.openxmlformats.org/officeDocument/2006/relationships/hyperlink" Target="https://pmc.ncbi.nlm.nih.gov/articles/PMC10415694/" TargetMode="External"/><Relationship Id="rId10" Type="http://schemas.openxmlformats.org/officeDocument/2006/relationships/hyperlink" Target="https://data.mendeley.com/datasets/9m2dcb5mmr/3" TargetMode="External"/><Relationship Id="rId11" Type="http://schemas.openxmlformats.org/officeDocument/2006/relationships/hyperlink" Target="https://data.mendeley.com/datasets/8nnd2ypcv3/1" TargetMode="External"/><Relationship Id="rId12" Type="http://schemas.openxmlformats.org/officeDocument/2006/relationships/hyperlink" Target="https://data.mendeley.com/datasets/6243z8r6t6/1" TargetMode="External"/><Relationship Id="rId13" Type="http://schemas.openxmlformats.org/officeDocument/2006/relationships/hyperlink" Target="https://data.mendeley.com/datasets/x6x5jkk873/2" TargetMode="External"/><Relationship Id="rId14" Type="http://schemas.openxmlformats.org/officeDocument/2006/relationships/hyperlink" Target="https://pmc.ncbi.nlm.nih.gov/articles/PMC11327543/" TargetMode="External"/><Relationship Id="rId15" Type="http://schemas.openxmlformats.org/officeDocument/2006/relationships/hyperlink" Target="https://data.mendeley.com/datasets/22p2vcbxfk/3" TargetMode="External"/><Relationship Id="rId16" Type="http://schemas.openxmlformats.org/officeDocument/2006/relationships/hyperlink" Target="https://pmc.ncbi.nlm.nih.gov/articles/PMC10293989/" TargetMode="External"/><Relationship Id="rId17" Type="http://schemas.openxmlformats.org/officeDocument/2006/relationships/hyperlink" Target="https://data.mendeley.com/datasets/zfcv9fmrgv/3" TargetMode="External"/><Relationship Id="rId18" Type="http://schemas.openxmlformats.org/officeDocument/2006/relationships/hyperlink" Target="https://pmc.ncbi.nlm.nih.gov/articles/PMC9679724/" TargetMode="External"/><Relationship Id="rId19" Type="http://schemas.openxmlformats.org/officeDocument/2006/relationships/hyperlink" Target="https://data.mendeley.com/datasets/z55yrbmn2d/3" TargetMode="External"/><Relationship Id="rId20" Type="http://schemas.openxmlformats.org/officeDocument/2006/relationships/hyperlink" Target="https://pmc.ncbi.nlm.nih.gov/articles/PMC11847223/" TargetMode="External"/><Relationship Id="rId21" Type="http://schemas.openxmlformats.org/officeDocument/2006/relationships/hyperlink" Target="https://data.mendeley.com/datasets/nh7zk4hv8z/1" TargetMode="External"/><Relationship Id="rId22" Type="http://schemas.openxmlformats.org/officeDocument/2006/relationships/hyperlink" Target="https://pubmed.ncbi.nlm.nih.gov/40687361/" TargetMode="External"/><Relationship Id="rId23" Type="http://schemas.openxmlformats.org/officeDocument/2006/relationships/hyperlink" Target="https://github.com/mamta-joshi-gehlot/Tomato-Village" TargetMode="External"/><Relationship Id="rId24" Type="http://schemas.openxmlformats.org/officeDocument/2006/relationships/hyperlink" Target="https://link.springer.com/article/10.1007/s00530-023-01158-y" TargetMode="External"/><Relationship Id="rId25" Type="http://schemas.openxmlformats.org/officeDocument/2006/relationships/hyperlink" Target="https://data.mendeley.com/datasets/74jsdxtmx2/1" TargetMode="External"/><Relationship Id="rId26" Type="http://schemas.openxmlformats.org/officeDocument/2006/relationships/hyperlink" Target="https://data.mendeley.com/datasets/t9hgvk2h9p/1" TargetMode="External"/><Relationship Id="rId27" Type="http://schemas.openxmlformats.org/officeDocument/2006/relationships/hyperlink" Target="https://pmc.ncbi.nlm.nih.gov/articles/PMC12557508/" TargetMode="External"/><Relationship Id="rId28" Type="http://schemas.openxmlformats.org/officeDocument/2006/relationships/hyperlink" Target="https://data.mendeley.com/datasets/b3jy2p6k8w/2" TargetMode="External"/><Relationship Id="rId29" Type="http://schemas.openxmlformats.org/officeDocument/2006/relationships/hyperlink" Target="https://www.sciencedirect.com/science/article/pii/S235234092400876X" TargetMode="External"/><Relationship Id="rId30" Type="http://schemas.openxmlformats.org/officeDocument/2006/relationships/hyperlink" Target="https://data.mendeley.com/datasets/tm3v4zmh7c/1" TargetMode="External"/><Relationship Id="rId31" Type="http://schemas.openxmlformats.org/officeDocument/2006/relationships/hyperlink" Target="https://data.mendeley.com/datasets/7ghdbftp54/1" TargetMode="External"/><Relationship Id="rId32" Type="http://schemas.openxmlformats.org/officeDocument/2006/relationships/hyperlink" Target="https://data.mendeley.com/datasets/hxsnvwty3r/1" TargetMode="External"/><Relationship Id="rId33" Type="http://schemas.openxmlformats.org/officeDocument/2006/relationships/hyperlink" Target="https://pmc.ncbi.nlm.nih.gov/articles/PMC9932726/" TargetMode="External"/><Relationship Id="rId34" Type="http://schemas.openxmlformats.org/officeDocument/2006/relationships/hyperlink" Target="https://data.mendeley.com/datasets/jtttfbx342/1" TargetMode="External"/><Relationship Id="rId35" Type="http://schemas.openxmlformats.org/officeDocument/2006/relationships/hyperlink" Target="https://data.mendeley.com/datasets/hgshn2zg3t/1" TargetMode="External"/><Relationship Id="rId36" Type="http://schemas.openxmlformats.org/officeDocument/2006/relationships/hyperlink" Target="https://paddydoc.github.io/dataset/" TargetMode="External"/><Relationship Id="rId37" Type="http://schemas.openxmlformats.org/officeDocument/2006/relationships/hyperlink" Target="https://arxiv.org/abs/2205.11108" TargetMode="External"/><Relationship Id="rId38" Type="http://schemas.openxmlformats.org/officeDocument/2006/relationships/hyperlink" Target="https://data.mendeley.com/datasets/9424skmnrk/1" TargetMode="External"/><Relationship Id="rId39" Type="http://schemas.openxmlformats.org/officeDocument/2006/relationships/hyperlink" Target="https://jisem-journal.com/index.php/journal/article/view/2872" TargetMode="External"/><Relationship Id="rId40" Type="http://schemas.openxmlformats.org/officeDocument/2006/relationships/hyperlink" Target="https://www.kaggle.com/datasets/tolgahayit/fusarium-wilt-disease-in-chickpea-dataset" TargetMode="External"/><Relationship Id="rId41" Type="http://schemas.openxmlformats.org/officeDocument/2006/relationships/hyperlink" Target="https://data.mendeley.com/datasets/fgb3cmfrg2/1" TargetMode="External"/><Relationship Id="rId42" Type="http://schemas.openxmlformats.org/officeDocument/2006/relationships/hyperlink" Target="https://github.com/BeenaPradeep/ARECANUT-DATASET" TargetMode="External"/><Relationship Id="rId43" Type="http://schemas.openxmlformats.org/officeDocument/2006/relationships/hyperlink" Target="https://ieee-dataport.org/documents/arecanut-disease-detection-dataset-6-classes-field-images-karnataka-india" TargetMode="External"/><Relationship Id="rId44" Type="http://schemas.openxmlformats.org/officeDocument/2006/relationships/hyperlink" Target="https://github.com/pratikkayal/PlantDoc-Dataset" TargetMode="External"/><Relationship Id="rId45" Type="http://schemas.openxmlformats.org/officeDocument/2006/relationships/hyperlink" Target="https://arxiv.org/pdf/1911.10317" TargetMode="External"/><Relationship Id="rId46" Type="http://schemas.openxmlformats.org/officeDocument/2006/relationships/hyperlink" Target="https://data.mendeley.com/datasets/rjykr62kdh/1" TargetMode="External"/><Relationship Id="rId47" Type="http://schemas.openxmlformats.org/officeDocument/2006/relationships/hyperlink" Target="https://www.kaggle.com/datasets/nagabushan/coconut-tree-disease-dataset" TargetMode="External"/><Relationship Id="rId48" Type="http://schemas.openxmlformats.org/officeDocument/2006/relationships/hyperlink" Target="https://www.sciencedirect.com/science/article/pii/S2352340923007692" TargetMode="External"/><Relationship Id="rId49" Type="http://schemas.openxmlformats.org/officeDocument/2006/relationships/hyperlink" Target="https://iopscience.iop.org/article/10.1088/2515-7620/ad8415" TargetMode="External"/><Relationship Id="rId50" Type="http://schemas.openxmlformats.org/officeDocument/2006/relationships/hyperlink" Target="https://www.kaggle.com/datasets/kamal01/top-agriculture-crop-disease" TargetMode="External"/><Relationship Id="rId51" Type="http://schemas.openxmlformats.org/officeDocument/2006/relationships/hyperlink" Target="https://data.mendeley.com/datasets/wzc6r6w5w5/2" TargetMode="External"/><Relationship Id="rId52" Type="http://schemas.openxmlformats.org/officeDocument/2006/relationships/hyperlink" Target="https://data.mendeley.com/datasets/w9mr3vf56s/1" TargetMode="External"/><Relationship Id="rId53" Type="http://schemas.openxmlformats.org/officeDocument/2006/relationships/hyperlink" Target="https://data.mendeley.com/datasets/m4m6j2tjfj/2" TargetMode="External"/><Relationship Id="rId54" Type="http://schemas.openxmlformats.org/officeDocument/2006/relationships/hyperlink" Target="https://data.mendeley.com/datasets/rnbsw72zb5/1" TargetMode="External"/><Relationship Id="rId55" Type="http://schemas.openxmlformats.org/officeDocument/2006/relationships/hyperlink" Target="https://data.mendeley.com/datasets/kt64b2kh89/1" TargetMode="External"/><Relationship Id="rId56" Type="http://schemas.openxmlformats.org/officeDocument/2006/relationships/hyperlink" Target="https://data.mendeley.com/datasets/rv3kxfv47y/1" TargetMode="External"/><Relationship Id="rId57" Type="http://schemas.openxmlformats.org/officeDocument/2006/relationships/hyperlink" Target="https://data.mendeley.com/datasets/6k94t3fydy/1" TargetMode="External"/><Relationship Id="rId58" Type="http://schemas.openxmlformats.org/officeDocument/2006/relationships/hyperlink" Target="https://data.mendeley.com/datasets/mn8vfr9bw2/2" TargetMode="External"/><Relationship Id="rId59" Type="http://schemas.openxmlformats.org/officeDocument/2006/relationships/hyperlink" Target="https://pmc.ncbi.nlm.nih.gov/articles/PMC11870215/" TargetMode="External"/><Relationship Id="rId60" Type="http://schemas.openxmlformats.org/officeDocument/2006/relationships/hyperlink" Target="https://data.mendeley.com/datasets/t5sssfgn2v/3" TargetMode="External"/><Relationship Id="rId61" Type="http://schemas.openxmlformats.org/officeDocument/2006/relationships/hyperlink" Target="https://data.mendeley.com/datasets/x995snz7p3/1" TargetMode="External"/><Relationship Id="rId62" Type="http://schemas.openxmlformats.org/officeDocument/2006/relationships/hyperlink" Target="https://data.mendeley.com/datasets/9tb7k297ff/1" TargetMode="External"/><Relationship Id="rId63" Type="http://schemas.openxmlformats.org/officeDocument/2006/relationships/hyperlink" Target="https://data.mendeley.com/datasets/428ysdybvd/1" TargetMode="External"/><Relationship Id="rId64" Type="http://schemas.openxmlformats.org/officeDocument/2006/relationships/hyperlink" Target="https://data.mendeley.com/datasets/sd8hzpg69b/3" TargetMode="External"/><Relationship Id="rId65" Type="http://schemas.openxmlformats.org/officeDocument/2006/relationships/hyperlink" Target="https://data.mendeley.com/datasets/g46dvrcvwn/2" TargetMode="External"/><Relationship Id="rId66" Type="http://schemas.openxmlformats.org/officeDocument/2006/relationships/hyperlink" Target="https://data.mendeley.com/datasets/vpzkntzjty/1" TargetMode="External"/><Relationship Id="rId67" Type="http://schemas.openxmlformats.org/officeDocument/2006/relationships/hyperlink" Target="https://data.mendeley.com/datasets/jm378tjnrt/1" TargetMode="External"/><Relationship Id="rId68" Type="http://schemas.openxmlformats.org/officeDocument/2006/relationships/hyperlink" Target="https://data.mendeley.com/datasets/rp2csdzxgr/1" TargetMode="External"/><Relationship Id="rId69" Type="http://schemas.openxmlformats.org/officeDocument/2006/relationships/hyperlink" Target="https://data.mendeley.com/datasets/fspx44mwfp/1" TargetMode="External"/><Relationship Id="rId70" Type="http://schemas.openxmlformats.org/officeDocument/2006/relationships/hyperlink" Target="https://pmc.ncbi.nlm.nih.gov/articles/PMC11220843/" TargetMode="External"/><Relationship Id="rId71" Type="http://schemas.openxmlformats.org/officeDocument/2006/relationships/hyperlink" Target="https://data.mendeley.com/datasets/45djgf3p96/1" TargetMode="External"/><Relationship Id="rId72" Type="http://schemas.openxmlformats.org/officeDocument/2006/relationships/hyperlink" Target="https://www.kaggle.com/datasets/manojgadde/yellow-vein-mosaic-disease" TargetMode="External"/><Relationship Id="rId73" Type="http://schemas.openxmlformats.org/officeDocument/2006/relationships/hyperlink" Target="https://data.mendeley.com/datasets/m9nmyp7r6h/1" TargetMode="External"/><Relationship Id="rId74" Type="http://schemas.openxmlformats.org/officeDocument/2006/relationships/hyperlink" Target="https://data.mendeley.com/datasets/b83hmrzth8/1" TargetMode="External"/><Relationship Id="rId75" Type="http://schemas.openxmlformats.org/officeDocument/2006/relationships/hyperlink" Target="https://pmc.ncbi.nlm.nih.gov/articles/PMC11846420/" TargetMode="External"/><Relationship Id="rId76" Type="http://schemas.openxmlformats.org/officeDocument/2006/relationships/hyperlink" Target="https://data.mendeley.com/datasets/6b2wxbs9cv/2" TargetMode="External"/><Relationship Id="rId77" Type="http://schemas.openxmlformats.org/officeDocument/2006/relationships/hyperlink" Target="https://onlinelibrary.wiley.com/doi/10.1111/jph.70051" TargetMode="External"/><Relationship Id="rId78" Type="http://schemas.openxmlformats.org/officeDocument/2006/relationships/hyperlink" Target="https://pmc.ncbi.nlm.nih.gov/articles/PMC12210286/" TargetMode="External"/><Relationship Id="rId79" Type="http://schemas.openxmlformats.org/officeDocument/2006/relationships/hyperlink" Target="https://aikosh.indiaai.gov.in/home/datasets/details/cropic_dataset.html" TargetMode="External"/><Relationship Id="rId80" Type="http://schemas.openxmlformats.org/officeDocument/2006/relationships/hyperlink" Target="https://www.kaggle.com/datasets/mamtag/tomato-village" TargetMode="External"/><Relationship Id="rId81" Type="http://schemas.openxmlformats.org/officeDocument/2006/relationships/hyperlink" Target="https://ieee-dataport.org/documents/paddy-doctor-visual-image-dataset-automated-paddy-disease-classification-and-benchmarking" TargetMode="External"/><Relationship Id="rId82" Type="http://schemas.openxmlformats.org/officeDocument/2006/relationships/hyperlink" Target="https://aikosh.indiaai.gov.in/" TargetMode="External"/><Relationship Id="rId83" Type="http://schemas.openxmlformats.org/officeDocument/2006/relationships/hyperlink" Target="https://data.mendeley.com/datasets/gh56wbsnj5/1" TargetMode="External"/><Relationship Id="rId84" Type="http://schemas.openxmlformats.org/officeDocument/2006/relationships/hyperlink" Target="https://open-meteo.com/en/terms" TargetMode="External"/><Relationship Id="rId85" Type="http://schemas.openxmlformats.org/officeDocument/2006/relationships/hyperlink" Target="https://open-meteo.com/en/pricing" TargetMode="External"/><Relationship Id="rId86" Type="http://schemas.openxmlformats.org/officeDocument/2006/relationships/hyperlink" Target="https://developers.google.com/earth-engine/datasets/catalog/ECMWF_ERA5_LAND_DAILY_AGGR" TargetMode="External"/><Relationship Id="rId87" Type="http://schemas.openxmlformats.org/officeDocument/2006/relationships/hyperlink" Target="https://developers.google.com/earth-engine/datasets/catalog/UCSB-CHG_CHIRPS_DAILY" TargetMode="External"/><Relationship Id="rId88" Type="http://schemas.openxmlformats.org/officeDocument/2006/relationships/hyperlink" Target="https://power.larc.nasa.gov/" TargetMode="External"/><Relationship Id="rId89" Type="http://schemas.openxmlformats.org/officeDocument/2006/relationships/hyperlink" Target="https://power.larc.nasa.gov/docs/services/api/" TargetMode="External"/><Relationship Id="rId90" Type="http://schemas.openxmlformats.org/officeDocument/2006/relationships/hyperlink" Target="https://imdlib.readthedocs.io/en/latest/Usage.html" TargetMode="External"/><Relationship Id="rId91" Type="http://schemas.openxmlformats.org/officeDocument/2006/relationships/hyperlink" Target="https://github.com/iamsaswata/imdlib" TargetMode="External"/><Relationship Id="rId92" Type="http://schemas.openxmlformats.org/officeDocument/2006/relationships/hyperlink" Target="https://docs.isric.org/globaldata/soilgrids/access_on_gee.html" TargetMode="External"/><Relationship Id="rId93" Type="http://schemas.openxmlformats.org/officeDocument/2006/relationships/hyperlink" Target="https://www.isric.org/explore/soilgrids" TargetMode="External"/><Relationship Id="rId94" Type="http://schemas.openxmlformats.org/officeDocument/2006/relationships/hyperlink" Target="https://www.soilhealth.dac.gov.in/nutrient-dashboard" TargetMode="External"/><Relationship Id="rId95" Type="http://schemas.openxmlformats.org/officeDocument/2006/relationships/hyperlink" Target="https://developers.google.com/earth-engine/guides/noncommercial_tiers" TargetMode="External"/><Relationship Id="rId96" Type="http://schemas.openxmlformats.org/officeDocument/2006/relationships/hyperlink" Target="https://developers.google.com/earth-engine/datasets/catalog/ESA_WorldCover_v200" TargetMode="External"/><Relationship Id="rId97" Type="http://schemas.openxmlformats.org/officeDocument/2006/relationships/hyperlink" Target="https://developers.google.com/agricultural-understanding/understanding-data" TargetMode="External"/><Relationship Id="rId98" Type="http://schemas.openxmlformats.org/officeDocument/2006/relationships/hyperlink" Target="https://agritech.tnau.ac.in/crop_protection/crop_prot.html" TargetMode="External"/><Relationship Id="rId99" Type="http://schemas.openxmlformats.org/officeDocument/2006/relationships/hyperlink" Target="https://www.tandfonline.com/doi/abs/10.1080/09670874.2016.1210839" TargetMode="External"/><Relationship Id="rId100" Type="http://schemas.openxmlformats.org/officeDocument/2006/relationships/hyperlink" Target="https://www.researchgate.net/publication/306045270_INDO-BLIGHTCAST_-_a_model_for_forecasting_late_blight_across_agroecologies" TargetMode="External"/><Relationship Id="rId10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</row>
    <row r="5" customFormat="false" ht="15" hidden="false" customHeight="true" outlineLevel="0" collapsed="false">
      <c r="A5" s="6" t="s">
        <v>3</v>
      </c>
      <c r="B5" s="7" t="s">
        <v>4</v>
      </c>
    </row>
    <row r="6" customFormat="false" ht="15" hidden="false" customHeight="true" outlineLevel="0" collapsed="false">
      <c r="A6" s="6" t="s">
        <v>5</v>
      </c>
      <c r="B6" s="7" t="s">
        <v>6</v>
      </c>
    </row>
    <row r="7" customFormat="false" ht="15" hidden="false" customHeight="true" outlineLevel="0" collapsed="false">
      <c r="A7" s="6" t="s">
        <v>7</v>
      </c>
      <c r="B7" s="7" t="s">
        <v>8</v>
      </c>
    </row>
    <row r="8" customFormat="false" ht="15" hidden="false" customHeight="true" outlineLevel="0" collapsed="false">
      <c r="A8" s="6" t="s">
        <v>9</v>
      </c>
      <c r="B8" s="7" t="s">
        <v>10</v>
      </c>
    </row>
    <row r="9" customFormat="false" ht="15" hidden="false" customHeight="true" outlineLevel="0" collapsed="false">
      <c r="A9" s="6" t="s">
        <v>11</v>
      </c>
      <c r="B9" s="7" t="s">
        <v>12</v>
      </c>
    </row>
    <row r="10" customFormat="false" ht="15" hidden="false" customHeight="true" outlineLevel="0" collapsed="false">
      <c r="A10" s="6" t="s">
        <v>13</v>
      </c>
      <c r="B10" s="7" t="s">
        <v>14</v>
      </c>
    </row>
    <row r="11" customFormat="false" ht="15" hidden="false" customHeight="true" outlineLevel="0" collapsed="false">
      <c r="A11" s="6"/>
      <c r="B11" s="7"/>
    </row>
    <row r="12" customFormat="false" ht="15" hidden="false" customHeight="true" outlineLevel="0" collapsed="false">
      <c r="A12" s="4" t="s">
        <v>15</v>
      </c>
      <c r="B12" s="5"/>
    </row>
    <row r="13" customFormat="false" ht="15" hidden="false" customHeight="true" outlineLevel="0" collapsed="false">
      <c r="A13" s="8" t="s">
        <v>16</v>
      </c>
      <c r="B13" s="7" t="s">
        <v>17</v>
      </c>
    </row>
    <row r="14" customFormat="false" ht="15" hidden="false" customHeight="true" outlineLevel="0" collapsed="false">
      <c r="A14" s="9" t="s">
        <v>18</v>
      </c>
      <c r="B14" s="7" t="s">
        <v>19</v>
      </c>
    </row>
    <row r="15" customFormat="false" ht="15" hidden="false" customHeight="true" outlineLevel="0" collapsed="false">
      <c r="A15" s="10" t="s">
        <v>20</v>
      </c>
      <c r="B15" s="7" t="s">
        <v>21</v>
      </c>
    </row>
    <row r="16" customFormat="false" ht="15" hidden="false" customHeight="true" outlineLevel="0" collapsed="false">
      <c r="A16" s="11" t="s">
        <v>22</v>
      </c>
      <c r="B16" s="7" t="s">
        <v>23</v>
      </c>
    </row>
    <row r="17" customFormat="false" ht="15" hidden="false" customHeight="true" outlineLevel="0" collapsed="false">
      <c r="A17" s="6"/>
      <c r="B17" s="7"/>
    </row>
    <row r="18" customFormat="false" ht="15" hidden="false" customHeight="true" outlineLevel="0" collapsed="false">
      <c r="A18" s="4" t="s">
        <v>24</v>
      </c>
      <c r="B18" s="5"/>
    </row>
    <row r="19" customFormat="false" ht="15" hidden="false" customHeight="true" outlineLevel="0" collapsed="false">
      <c r="A19" s="6" t="s">
        <v>25</v>
      </c>
      <c r="B19" s="7" t="s">
        <v>26</v>
      </c>
    </row>
    <row r="20" customFormat="false" ht="15" hidden="false" customHeight="true" outlineLevel="0" collapsed="false">
      <c r="A20" s="6" t="s">
        <v>27</v>
      </c>
      <c r="B20" s="7" t="s">
        <v>28</v>
      </c>
    </row>
    <row r="21" customFormat="false" ht="15" hidden="false" customHeight="true" outlineLevel="0" collapsed="false">
      <c r="A21" s="6" t="s">
        <v>29</v>
      </c>
      <c r="B21" s="7" t="s">
        <v>30</v>
      </c>
    </row>
    <row r="22" customFormat="false" ht="15" hidden="false" customHeight="true" outlineLevel="0" collapsed="false">
      <c r="A22" s="6"/>
      <c r="B22" s="7"/>
    </row>
    <row r="23" customFormat="false" ht="15" hidden="false" customHeight="true" outlineLevel="0" collapsed="false">
      <c r="A23" s="4" t="s">
        <v>31</v>
      </c>
      <c r="B23" s="5"/>
    </row>
    <row r="24" customFormat="false" ht="15" hidden="false" customHeight="true" outlineLevel="0" collapsed="false">
      <c r="A24" s="6" t="s">
        <v>32</v>
      </c>
      <c r="B24" s="7" t="s">
        <v>33</v>
      </c>
    </row>
    <row r="25" customFormat="false" ht="23.25" hidden="false" customHeight="true" outlineLevel="0" collapsed="false">
      <c r="A25" s="6" t="s">
        <v>34</v>
      </c>
      <c r="B25" s="7" t="s">
        <v>35</v>
      </c>
    </row>
    <row r="26" customFormat="false" ht="15" hidden="false" customHeight="true" outlineLevel="0" collapsed="false">
      <c r="A26" s="6" t="s">
        <v>36</v>
      </c>
      <c r="B26" s="7" t="s">
        <v>37</v>
      </c>
    </row>
    <row r="27" customFormat="false" ht="23.25" hidden="false" customHeight="true" outlineLevel="0" collapsed="false">
      <c r="A27" s="6" t="s">
        <v>38</v>
      </c>
      <c r="B27" s="7" t="s">
        <v>39</v>
      </c>
    </row>
    <row r="28" customFormat="false" ht="15" hidden="false" customHeight="true" outlineLevel="0" collapsed="false">
      <c r="A28" s="6" t="s">
        <v>40</v>
      </c>
      <c r="B28" s="7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44"/>
    <col collapsed="false" customWidth="true" hidden="false" outlineLevel="0" max="6" min="6" style="1" width="14"/>
  </cols>
  <sheetData>
    <row r="1" customFormat="false" ht="17.25" hidden="false" customHeight="true" outlineLevel="0" collapsed="false">
      <c r="A1" s="2" t="s">
        <v>5</v>
      </c>
    </row>
    <row r="2" customFormat="false" ht="15" hidden="false" customHeight="true" outlineLevel="0" collapsed="false">
      <c r="A2" s="3" t="s">
        <v>42</v>
      </c>
    </row>
    <row r="4" customFormat="false" ht="23.25" hidden="false" customHeight="true" outlineLevel="0" collapsed="false">
      <c r="A4" s="12" t="s">
        <v>43</v>
      </c>
      <c r="B4" s="12" t="s">
        <v>44</v>
      </c>
      <c r="C4" s="12" t="s">
        <v>45</v>
      </c>
      <c r="D4" s="12" t="s">
        <v>25</v>
      </c>
      <c r="E4" s="12" t="s">
        <v>27</v>
      </c>
      <c r="F4" s="12" t="s">
        <v>29</v>
      </c>
    </row>
    <row r="5" customFormat="false" ht="15" hidden="false" customHeight="true" outlineLevel="0" collapsed="false">
      <c r="A5" s="13" t="s">
        <v>16</v>
      </c>
      <c r="B5" s="14" t="n">
        <f aca="false">COUNTIF('Dataset Catalogue'!$B$2:$B$34,A5)</f>
        <v>15</v>
      </c>
      <c r="C5" s="14" t="n">
        <f aca="false">SUMIF('Dataset Catalogue'!$B$2:$B$34,A5,'Dataset Catalogue'!$H$2:$H$34)</f>
        <v>76684</v>
      </c>
      <c r="D5" s="14" t="n">
        <f aca="false">COUNTIFS('Dataset Catalogue'!$B$2:$B$34,A5,'Dataset Catalogue'!$P$2:$P$34,"Verified")</f>
        <v>5</v>
      </c>
      <c r="E5" s="14" t="n">
        <f aca="false">COUNTIFS('Dataset Catalogue'!$B$2:$B$34,A5,'Dataset Catalogue'!$P$2:$P$34,"Partial")</f>
        <v>8</v>
      </c>
      <c r="F5" s="14" t="n">
        <f aca="false">COUNTIFS('Dataset Catalogue'!$B$2:$B$34,A5,'Dataset Catalogue'!$P$2:$P$34,"Not verified")</f>
        <v>2</v>
      </c>
    </row>
    <row r="6" customFormat="false" ht="15" hidden="false" customHeight="true" outlineLevel="0" collapsed="false">
      <c r="A6" s="15" t="s">
        <v>18</v>
      </c>
      <c r="B6" s="14" t="n">
        <f aca="false">COUNTIF('Dataset Catalogue'!$B$2:$B$34,A6)</f>
        <v>7</v>
      </c>
      <c r="C6" s="14" t="n">
        <f aca="false">SUMIF('Dataset Catalogue'!$B$2:$B$34,A6,'Dataset Catalogue'!$H$2:$H$34)</f>
        <v>18429</v>
      </c>
      <c r="D6" s="14" t="n">
        <f aca="false">COUNTIFS('Dataset Catalogue'!$B$2:$B$34,A6,'Dataset Catalogue'!$P$2:$P$34,"Verified")</f>
        <v>4</v>
      </c>
      <c r="E6" s="14" t="n">
        <f aca="false">COUNTIFS('Dataset Catalogue'!$B$2:$B$34,A6,'Dataset Catalogue'!$P$2:$P$34,"Partial")</f>
        <v>2</v>
      </c>
      <c r="F6" s="14" t="n">
        <f aca="false">COUNTIFS('Dataset Catalogue'!$B$2:$B$34,A6,'Dataset Catalogue'!$P$2:$P$34,"Not verified")</f>
        <v>1</v>
      </c>
    </row>
    <row r="7" customFormat="false" ht="15" hidden="false" customHeight="true" outlineLevel="0" collapsed="false">
      <c r="A7" s="16" t="s">
        <v>20</v>
      </c>
      <c r="B7" s="14" t="n">
        <f aca="false">COUNTIF('Dataset Catalogue'!$B$2:$B$34,A7)</f>
        <v>2</v>
      </c>
      <c r="C7" s="14" t="n">
        <f aca="false">SUMIF('Dataset Catalogue'!$B$2:$B$34,A7,'Dataset Catalogue'!$H$2:$H$34)</f>
        <v>18794</v>
      </c>
      <c r="D7" s="14" t="n">
        <f aca="false">COUNTIFS('Dataset Catalogue'!$B$2:$B$34,A7,'Dataset Catalogue'!$P$2:$P$34,"Verified")</f>
        <v>1</v>
      </c>
      <c r="E7" s="14" t="n">
        <f aca="false">COUNTIFS('Dataset Catalogue'!$B$2:$B$34,A7,'Dataset Catalogue'!$P$2:$P$34,"Partial")</f>
        <v>1</v>
      </c>
      <c r="F7" s="14" t="n">
        <f aca="false">COUNTIFS('Dataset Catalogue'!$B$2:$B$34,A7,'Dataset Catalogue'!$P$2:$P$34,"Not verified")</f>
        <v>0</v>
      </c>
    </row>
    <row r="8" customFormat="false" ht="15" hidden="false" customHeight="true" outlineLevel="0" collapsed="false">
      <c r="A8" s="17" t="s">
        <v>22</v>
      </c>
      <c r="B8" s="14" t="n">
        <f aca="false">COUNTIF('Dataset Catalogue'!$B$2:$B$34,A8)</f>
        <v>9</v>
      </c>
      <c r="C8" s="14" t="n">
        <f aca="false">SUMIF('Dataset Catalogue'!$B$2:$B$34,A8,'Dataset Catalogue'!$H$2:$H$34)</f>
        <v>20040</v>
      </c>
      <c r="D8" s="14" t="n">
        <f aca="false">COUNTIFS('Dataset Catalogue'!$B$2:$B$34,A8,'Dataset Catalogue'!$P$2:$P$34,"Verified")</f>
        <v>4</v>
      </c>
      <c r="E8" s="14" t="n">
        <f aca="false">COUNTIFS('Dataset Catalogue'!$B$2:$B$34,A8,'Dataset Catalogue'!$P$2:$P$34,"Partial")</f>
        <v>3</v>
      </c>
      <c r="F8" s="14" t="n">
        <f aca="false">COUNTIFS('Dataset Catalogue'!$B$2:$B$34,A8,'Dataset Catalogue'!$P$2:$P$34,"Not verified")</f>
        <v>2</v>
      </c>
    </row>
    <row r="9" customFormat="false" ht="15" hidden="false" customHeight="true" outlineLevel="0" collapsed="false">
      <c r="A9" s="18" t="s">
        <v>46</v>
      </c>
      <c r="B9" s="19" t="n">
        <f aca="false">SUM(B5:B8)</f>
        <v>33</v>
      </c>
      <c r="C9" s="19" t="n">
        <f aca="false">SUM(C5:C8)</f>
        <v>133947</v>
      </c>
      <c r="D9" s="19" t="n">
        <f aca="false">SUM(D5:D8)</f>
        <v>14</v>
      </c>
      <c r="E9" s="19" t="n">
        <f aca="false">SUM(E5:E8)</f>
        <v>14</v>
      </c>
      <c r="F9" s="19" t="n">
        <f aca="false">SUM(F5:F8)</f>
        <v>5</v>
      </c>
    </row>
    <row r="11" customFormat="false" ht="15" hidden="false" customHeight="true" outlineLevel="0" collapsed="false">
      <c r="A11" s="20" t="s">
        <v>47</v>
      </c>
    </row>
    <row r="12" customFormat="false" ht="23.25" hidden="false" customHeight="true" outlineLevel="0" collapsed="false">
      <c r="A12" s="12" t="s">
        <v>48</v>
      </c>
      <c r="B12" s="12" t="s">
        <v>49</v>
      </c>
      <c r="C12" s="12" t="s">
        <v>50</v>
      </c>
      <c r="D12" s="12" t="s">
        <v>51</v>
      </c>
      <c r="E12" s="12" t="s">
        <v>52</v>
      </c>
    </row>
    <row r="13" customFormat="false" ht="15" hidden="false" customHeight="true" outlineLevel="0" collapsed="false">
      <c r="A13" s="18" t="s">
        <v>53</v>
      </c>
      <c r="B13" s="14" t="n">
        <f aca="false">COUNTIFS('Dataset Catalogue'!$C$2:$C$34,"*"&amp;A13&amp;"*",'Dataset Catalogue'!$B$2:$B$34,"Tier 1")</f>
        <v>2</v>
      </c>
      <c r="C13" s="14" t="n">
        <f aca="false">COUNTIFS('Dataset Catalogue'!$C$2:$C$34,"*"&amp;A13&amp;"*",'Dataset Catalogue'!$B$2:$B$34,"Tier 2")</f>
        <v>1</v>
      </c>
      <c r="D13" s="21" t="n">
        <f aca="false">SUMIFS('Dataset Catalogue'!$H$2:$H$34,'Dataset Catalogue'!$C$2:$C$34,"*"&amp;A13&amp;"*",'Dataset Catalogue'!$B$2:$B$34,"Tier 1")</f>
        <v>33987</v>
      </c>
      <c r="E13" s="22" t="s">
        <v>54</v>
      </c>
    </row>
    <row r="14" customFormat="false" ht="15" hidden="false" customHeight="true" outlineLevel="0" collapsed="false">
      <c r="A14" s="18" t="s">
        <v>55</v>
      </c>
      <c r="B14" s="14" t="n">
        <f aca="false">COUNTIFS('Dataset Catalogue'!$C$2:$C$34,"*"&amp;A14&amp;"*",'Dataset Catalogue'!$B$2:$B$34,"Tier 1")</f>
        <v>1</v>
      </c>
      <c r="C14" s="14" t="n">
        <f aca="false">COUNTIFS('Dataset Catalogue'!$C$2:$C$34,"*"&amp;A14&amp;"*",'Dataset Catalogue'!$B$2:$B$34,"Tier 2")</f>
        <v>0</v>
      </c>
      <c r="D14" s="21" t="n">
        <f aca="false">SUMIFS('Dataset Catalogue'!$H$2:$H$34,'Dataset Catalogue'!$C$2:$C$34,"*"&amp;A14&amp;"*",'Dataset Catalogue'!$B$2:$B$34,"Tier 1")</f>
        <v>4502</v>
      </c>
      <c r="E14" s="22" t="s">
        <v>56</v>
      </c>
    </row>
    <row r="15" customFormat="false" ht="15" hidden="false" customHeight="true" outlineLevel="0" collapsed="false">
      <c r="A15" s="18" t="s">
        <v>57</v>
      </c>
      <c r="B15" s="14" t="n">
        <f aca="false">COUNTIFS('Dataset Catalogue'!$C$2:$C$34,"*"&amp;A15&amp;"*",'Dataset Catalogue'!$B$2:$B$34,"Tier 1")</f>
        <v>1</v>
      </c>
      <c r="C15" s="14" t="n">
        <f aca="false">COUNTIFS('Dataset Catalogue'!$C$2:$C$34,"*"&amp;A15&amp;"*",'Dataset Catalogue'!$B$2:$B$34,"Tier 2")</f>
        <v>0</v>
      </c>
      <c r="D15" s="21" t="n">
        <f aca="false">SUMIFS('Dataset Catalogue'!$H$2:$H$34,'Dataset Catalogue'!$C$2:$C$34,"*"&amp;A15&amp;"*",'Dataset Catalogue'!$B$2:$B$34,"Tier 1")</f>
        <v>9000</v>
      </c>
      <c r="E15" s="22" t="s">
        <v>58</v>
      </c>
    </row>
    <row r="16" customFormat="false" ht="15" hidden="false" customHeight="true" outlineLevel="0" collapsed="false">
      <c r="A16" s="18" t="s">
        <v>59</v>
      </c>
      <c r="B16" s="14" t="n">
        <f aca="false">COUNTIFS('Dataset Catalogue'!$C$2:$C$34,"*"&amp;A16&amp;"*",'Dataset Catalogue'!$B$2:$B$34,"Tier 1")</f>
        <v>2</v>
      </c>
      <c r="C16" s="14" t="n">
        <f aca="false">COUNTIFS('Dataset Catalogue'!$C$2:$C$34,"*"&amp;A16&amp;"*",'Dataset Catalogue'!$B$2:$B$34,"Tier 2")</f>
        <v>0</v>
      </c>
      <c r="D16" s="21" t="n">
        <f aca="false">SUMIFS('Dataset Catalogue'!$H$2:$H$34,'Dataset Catalogue'!$C$2:$C$34,"*"&amp;A16&amp;"*",'Dataset Catalogue'!$B$2:$B$34,"Tier 1")</f>
        <v>14680</v>
      </c>
      <c r="E16" s="22" t="s">
        <v>60</v>
      </c>
    </row>
    <row r="17" customFormat="false" ht="15" hidden="false" customHeight="true" outlineLevel="0" collapsed="false">
      <c r="A17" s="18" t="s">
        <v>61</v>
      </c>
      <c r="B17" s="14" t="n">
        <f aca="false">COUNTIFS('Dataset Catalogue'!$C$2:$C$34,"*"&amp;A17&amp;"*",'Dataset Catalogue'!$B$2:$B$34,"Tier 1")</f>
        <v>1</v>
      </c>
      <c r="C17" s="14" t="n">
        <f aca="false">COUNTIFS('Dataset Catalogue'!$C$2:$C$34,"*"&amp;A17&amp;"*",'Dataset Catalogue'!$B$2:$B$34,"Tier 2")</f>
        <v>0</v>
      </c>
      <c r="D17" s="21" t="n">
        <f aca="false">SUMIFS('Dataset Catalogue'!$H$2:$H$34,'Dataset Catalogue'!$C$2:$C$34,"*"&amp;A17&amp;"*",'Dataset Catalogue'!$B$2:$B$34,"Tier 1")</f>
        <v>7569</v>
      </c>
      <c r="E17" s="22" t="s">
        <v>62</v>
      </c>
    </row>
    <row r="18" customFormat="false" ht="15" hidden="false" customHeight="true" outlineLevel="0" collapsed="false">
      <c r="A18" s="18" t="s">
        <v>63</v>
      </c>
      <c r="B18" s="14" t="n">
        <f aca="false">COUNTIFS('Dataset Catalogue'!$C$2:$C$34,"*"&amp;A18&amp;"*",'Dataset Catalogue'!$B$2:$B$34,"Tier 1")</f>
        <v>1</v>
      </c>
      <c r="C18" s="14" t="n">
        <f aca="false">COUNTIFS('Dataset Catalogue'!$C$2:$C$34,"*"&amp;A18&amp;"*",'Dataset Catalogue'!$B$2:$B$34,"Tier 2")</f>
        <v>0</v>
      </c>
      <c r="D18" s="21" t="n">
        <f aca="false">SUMIFS('Dataset Catalogue'!$H$2:$H$34,'Dataset Catalogue'!$C$2:$C$34,"*"&amp;A18&amp;"*",'Dataset Catalogue'!$B$2:$B$34,"Tier 1")</f>
        <v>2726</v>
      </c>
      <c r="E18" s="22" t="s">
        <v>64</v>
      </c>
    </row>
    <row r="19" customFormat="false" ht="15" hidden="false" customHeight="true" outlineLevel="0" collapsed="false">
      <c r="A19" s="18" t="s">
        <v>65</v>
      </c>
      <c r="B19" s="14" t="n">
        <f aca="false">COUNTIFS('Dataset Catalogue'!$C$2:$C$34,"*"&amp;A19&amp;"*",'Dataset Catalogue'!$B$2:$B$34,"Tier 1")</f>
        <v>1</v>
      </c>
      <c r="C19" s="14" t="n">
        <f aca="false">COUNTIFS('Dataset Catalogue'!$C$2:$C$34,"*"&amp;A19&amp;"*",'Dataset Catalogue'!$B$2:$B$34,"Tier 2")</f>
        <v>0</v>
      </c>
      <c r="D19" s="21" t="n">
        <f aca="false">SUMIFS('Dataset Catalogue'!$H$2:$H$34,'Dataset Catalogue'!$C$2:$C$34,"*"&amp;A19&amp;"*",'Dataset Catalogue'!$B$2:$B$34,"Tier 1")</f>
        <v>23000</v>
      </c>
      <c r="E19" s="22" t="s">
        <v>66</v>
      </c>
    </row>
    <row r="20" customFormat="false" ht="15" hidden="false" customHeight="true" outlineLevel="0" collapsed="false">
      <c r="A20" s="18" t="s">
        <v>67</v>
      </c>
      <c r="B20" s="14" t="n">
        <f aca="false">COUNTIFS('Dataset Catalogue'!$C$2:$C$34,"*"&amp;A20&amp;"*",'Dataset Catalogue'!$B$2:$B$34,"Tier 1")</f>
        <v>1</v>
      </c>
      <c r="C20" s="14" t="n">
        <f aca="false">COUNTIFS('Dataset Catalogue'!$C$2:$C$34,"*"&amp;A20&amp;"*",'Dataset Catalogue'!$B$2:$B$34,"Tier 2")</f>
        <v>0</v>
      </c>
      <c r="D20" s="21" t="n">
        <f aca="false">SUMIFS('Dataset Catalogue'!$H$2:$H$34,'Dataset Catalogue'!$C$2:$C$34,"*"&amp;A20&amp;"*",'Dataset Catalogue'!$B$2:$B$34,"Tier 1")</f>
        <v>23000</v>
      </c>
      <c r="E20" s="22" t="s">
        <v>66</v>
      </c>
    </row>
    <row r="21" customFormat="false" ht="15" hidden="false" customHeight="true" outlineLevel="0" collapsed="false">
      <c r="A21" s="18" t="s">
        <v>68</v>
      </c>
      <c r="B21" s="14" t="n">
        <f aca="false">COUNTIFS('Dataset Catalogue'!$C$2:$C$34,"*"&amp;A21&amp;"*",'Dataset Catalogue'!$B$2:$B$34,"Tier 1")</f>
        <v>1</v>
      </c>
      <c r="C21" s="14" t="n">
        <f aca="false">COUNTIFS('Dataset Catalogue'!$C$2:$C$34,"*"&amp;A21&amp;"*",'Dataset Catalogue'!$B$2:$B$34,"Tier 2")</f>
        <v>0</v>
      </c>
      <c r="D21" s="21" t="n">
        <f aca="false">SUMIFS('Dataset Catalogue'!$H$2:$H$34,'Dataset Catalogue'!$C$2:$C$34,"*"&amp;A21&amp;"*",'Dataset Catalogue'!$B$2:$B$34,"Tier 1")</f>
        <v>23000</v>
      </c>
      <c r="E21" s="22" t="s">
        <v>66</v>
      </c>
    </row>
    <row r="22" customFormat="false" ht="15" hidden="false" customHeight="true" outlineLevel="0" collapsed="false">
      <c r="A22" s="18" t="s">
        <v>69</v>
      </c>
      <c r="B22" s="14" t="n">
        <f aca="false">COUNTIFS('Dataset Catalogue'!$C$2:$C$34,"*"&amp;A22&amp;"*",'Dataset Catalogue'!$B$2:$B$34,"Tier 1")</f>
        <v>3</v>
      </c>
      <c r="C22" s="14" t="n">
        <f aca="false">COUNTIFS('Dataset Catalogue'!$C$2:$C$34,"*"&amp;A22&amp;"*",'Dataset Catalogue'!$B$2:$B$34,"Tier 2")</f>
        <v>0</v>
      </c>
      <c r="D22" s="21" t="n">
        <f aca="false">SUMIFS('Dataset Catalogue'!$H$2:$H$34,'Dataset Catalogue'!$C$2:$C$34,"*"&amp;A22&amp;"*",'Dataset Catalogue'!$B$2:$B$34,"Tier 1")</f>
        <v>24720</v>
      </c>
      <c r="E22" s="22" t="s">
        <v>70</v>
      </c>
    </row>
    <row r="23" customFormat="false" ht="15" hidden="false" customHeight="true" outlineLevel="0" collapsed="false">
      <c r="A23" s="18" t="s">
        <v>71</v>
      </c>
      <c r="B23" s="14" t="n">
        <f aca="false">COUNTIFS('Dataset Catalogue'!$C$2:$C$34,"*"&amp;A23&amp;"*",'Dataset Catalogue'!$B$2:$B$34,"Tier 1")</f>
        <v>2</v>
      </c>
      <c r="C23" s="14" t="n">
        <f aca="false">COUNTIFS('Dataset Catalogue'!$C$2:$C$34,"*"&amp;A23&amp;"*",'Dataset Catalogue'!$B$2:$B$34,"Tier 2")</f>
        <v>0</v>
      </c>
      <c r="D23" s="21" t="n">
        <f aca="false">SUMIFS('Dataset Catalogue'!$H$2:$H$34,'Dataset Catalogue'!$C$2:$C$34,"*"&amp;A23&amp;"*",'Dataset Catalogue'!$B$2:$B$34,"Tier 1")</f>
        <v>1000</v>
      </c>
      <c r="E23" s="22" t="s">
        <v>72</v>
      </c>
    </row>
    <row r="24" customFormat="false" ht="15" hidden="false" customHeight="true" outlineLevel="0" collapsed="false">
      <c r="A24" s="18" t="s">
        <v>73</v>
      </c>
      <c r="B24" s="14" t="n">
        <f aca="false">COUNTIFS('Dataset Catalogue'!$C$2:$C$34,"*"&amp;A24&amp;"*",'Dataset Catalogue'!$B$2:$B$34,"Tier 1")</f>
        <v>1</v>
      </c>
      <c r="C24" s="14" t="n">
        <f aca="false">COUNTIFS('Dataset Catalogue'!$C$2:$C$34,"*"&amp;A24&amp;"*",'Dataset Catalogue'!$B$2:$B$34,"Tier 2")</f>
        <v>1</v>
      </c>
      <c r="D24" s="21" t="n">
        <f aca="false">SUMIFS('Dataset Catalogue'!$H$2:$H$34,'Dataset Catalogue'!$C$2:$C$34,"*"&amp;A24&amp;"*",'Dataset Catalogue'!$B$2:$B$34,"Tier 1")</f>
        <v>1500</v>
      </c>
      <c r="E24" s="22" t="s">
        <v>74</v>
      </c>
    </row>
    <row r="25" customFormat="false" ht="15" hidden="false" customHeight="true" outlineLevel="0" collapsed="false">
      <c r="A25" s="18" t="s">
        <v>75</v>
      </c>
      <c r="B25" s="14" t="n">
        <f aca="false">COUNTIFS('Dataset Catalogue'!$C$2:$C$34,"*"&amp;A25&amp;"*",'Dataset Catalogue'!$B$2:$B$34,"Tier 1")</f>
        <v>1</v>
      </c>
      <c r="C25" s="14" t="n">
        <f aca="false">COUNTIFS('Dataset Catalogue'!$C$2:$C$34,"*"&amp;A25&amp;"*",'Dataset Catalogue'!$B$2:$B$34,"Tier 2")</f>
        <v>0</v>
      </c>
      <c r="D25" s="21" t="n">
        <f aca="false">SUMIFS('Dataset Catalogue'!$H$2:$H$34,'Dataset Catalogue'!$C$2:$C$34,"*"&amp;A25&amp;"*",'Dataset Catalogue'!$B$2:$B$34,"Tier 1")</f>
        <v>0</v>
      </c>
      <c r="E25" s="22" t="s">
        <v>76</v>
      </c>
    </row>
    <row r="26" customFormat="false" ht="15" hidden="false" customHeight="true" outlineLevel="0" collapsed="false">
      <c r="A26" s="18" t="s">
        <v>77</v>
      </c>
      <c r="B26" s="14" t="n">
        <f aca="false">COUNTIFS('Dataset Catalogue'!$C$2:$C$34,"*"&amp;A26&amp;"*",'Dataset Catalogue'!$B$2:$B$34,"Tier 1")</f>
        <v>1</v>
      </c>
      <c r="C26" s="14" t="n">
        <f aca="false">COUNTIFS('Dataset Catalogue'!$C$2:$C$34,"*"&amp;A26&amp;"*",'Dataset Catalogue'!$B$2:$B$34,"Tier 2")</f>
        <v>2</v>
      </c>
      <c r="D26" s="21" t="n">
        <f aca="false">SUMIFS('Dataset Catalogue'!$H$2:$H$34,'Dataset Catalogue'!$C$2:$C$34,"*"&amp;A26&amp;"*",'Dataset Catalogue'!$B$2:$B$34,"Tier 1")</f>
        <v>0</v>
      </c>
      <c r="E26" s="22" t="s">
        <v>78</v>
      </c>
    </row>
    <row r="27" customFormat="false" ht="15" hidden="false" customHeight="true" outlineLevel="0" collapsed="false">
      <c r="A27" s="18" t="s">
        <v>79</v>
      </c>
      <c r="B27" s="14" t="n">
        <f aca="false">COUNTIFS('Dataset Catalogue'!$C$2:$C$34,"*"&amp;A27&amp;"*",'Dataset Catalogue'!$B$2:$B$34,"Tier 1")</f>
        <v>0</v>
      </c>
      <c r="C27" s="14" t="n">
        <f aca="false">COUNTIFS('Dataset Catalogue'!$C$2:$C$34,"*"&amp;A27&amp;"*",'Dataset Catalogue'!$B$2:$B$34,"Tier 2")</f>
        <v>2</v>
      </c>
      <c r="D27" s="21" t="n">
        <f aca="false">SUMIFS('Dataset Catalogue'!$H$2:$H$34,'Dataset Catalogue'!$C$2:$C$34,"*"&amp;A27&amp;"*",'Dataset Catalogue'!$B$2:$B$34,"Tier 1")</f>
        <v>0</v>
      </c>
      <c r="E27" s="22" t="s">
        <v>80</v>
      </c>
    </row>
    <row r="28" customFormat="false" ht="15" hidden="false" customHeight="true" outlineLevel="0" collapsed="false">
      <c r="A28" s="18" t="s">
        <v>81</v>
      </c>
      <c r="B28" s="14" t="n">
        <f aca="false">COUNTIFS('Dataset Catalogue'!$C$2:$C$34,"*"&amp;A28&amp;"*",'Dataset Catalogue'!$B$2:$B$34,"Tier 1")</f>
        <v>0</v>
      </c>
      <c r="C28" s="14" t="n">
        <f aca="false">COUNTIFS('Dataset Catalogue'!$C$2:$C$34,"*"&amp;A28&amp;"*",'Dataset Catalogue'!$B$2:$B$34,"Tier 2")</f>
        <v>1</v>
      </c>
      <c r="D28" s="21" t="n">
        <f aca="false">SUMIFS('Dataset Catalogue'!$H$2:$H$34,'Dataset Catalogue'!$C$2:$C$34,"*"&amp;A28&amp;"*",'Dataset Catalogue'!$B$2:$B$34,"Tier 1")</f>
        <v>0</v>
      </c>
      <c r="E28" s="22" t="s">
        <v>82</v>
      </c>
    </row>
    <row r="29" customFormat="false" ht="15" hidden="false" customHeight="true" outlineLevel="0" collapsed="false">
      <c r="A29" s="3" t="s">
        <v>83</v>
      </c>
    </row>
    <row r="30" customFormat="false" ht="15" hidden="false" customHeight="true" outlineLevel="0" collapsed="false">
      <c r="A30" s="3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5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6" min="5" style="1" width="34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60"/>
    <col collapsed="false" customWidth="true" hidden="false" outlineLevel="0" max="11" min="11" style="1" width="10"/>
    <col collapsed="false" customWidth="true" hidden="false" outlineLevel="0" max="12" min="12" style="1" width="32"/>
    <col collapsed="false" customWidth="true" hidden="false" outlineLevel="0" max="13" min="13" style="1" width="14"/>
    <col collapsed="false" customWidth="true" hidden="false" outlineLevel="0" max="15" min="14" style="1" width="40"/>
    <col collapsed="false" customWidth="true" hidden="false" outlineLevel="0" max="16" min="16" style="1" width="12"/>
    <col collapsed="false" customWidth="true" hidden="false" outlineLevel="0" max="17" min="17" style="1" width="60"/>
  </cols>
  <sheetData>
    <row r="1" customFormat="false" ht="31.5" hidden="false" customHeight="true" outlineLevel="0" collapsed="false">
      <c r="A1" s="12" t="s">
        <v>85</v>
      </c>
      <c r="B1" s="12" t="s">
        <v>43</v>
      </c>
      <c r="C1" s="12" t="s">
        <v>48</v>
      </c>
      <c r="D1" s="12" t="s">
        <v>86</v>
      </c>
      <c r="E1" s="12" t="s">
        <v>87</v>
      </c>
      <c r="F1" s="12" t="s">
        <v>88</v>
      </c>
      <c r="G1" s="12" t="s">
        <v>89</v>
      </c>
      <c r="H1" s="12" t="s">
        <v>90</v>
      </c>
      <c r="I1" s="12" t="s">
        <v>91</v>
      </c>
      <c r="J1" s="12" t="s">
        <v>92</v>
      </c>
      <c r="K1" s="12" t="s">
        <v>93</v>
      </c>
      <c r="L1" s="12" t="s">
        <v>94</v>
      </c>
      <c r="M1" s="12" t="s">
        <v>95</v>
      </c>
      <c r="N1" s="12" t="s">
        <v>96</v>
      </c>
      <c r="O1" s="12" t="s">
        <v>97</v>
      </c>
      <c r="P1" s="12" t="s">
        <v>98</v>
      </c>
      <c r="Q1" s="12" t="s">
        <v>99</v>
      </c>
    </row>
    <row r="2" customFormat="false" ht="23.25" hidden="false" customHeight="true" outlineLevel="0" collapsed="false">
      <c r="A2" s="23" t="s">
        <v>100</v>
      </c>
      <c r="B2" s="24" t="s">
        <v>16</v>
      </c>
      <c r="C2" s="25" t="s">
        <v>53</v>
      </c>
      <c r="D2" s="25" t="s">
        <v>101</v>
      </c>
      <c r="E2" s="25" t="s">
        <v>102</v>
      </c>
      <c r="F2" s="25" t="s">
        <v>103</v>
      </c>
      <c r="G2" s="23" t="s">
        <v>104</v>
      </c>
      <c r="H2" s="26" t="n">
        <v>10987</v>
      </c>
      <c r="I2" s="23" t="n">
        <v>5</v>
      </c>
      <c r="J2" s="25" t="s">
        <v>105</v>
      </c>
      <c r="K2" s="23" t="s">
        <v>106</v>
      </c>
      <c r="L2" s="25" t="s">
        <v>107</v>
      </c>
      <c r="M2" s="25" t="s">
        <v>108</v>
      </c>
      <c r="N2" s="27" t="s">
        <v>109</v>
      </c>
      <c r="O2" s="27" t="s">
        <v>110</v>
      </c>
      <c r="P2" s="23" t="s">
        <v>25</v>
      </c>
      <c r="Q2" s="25" t="s">
        <v>111</v>
      </c>
    </row>
    <row r="3" customFormat="false" ht="34.5" hidden="false" customHeight="true" outlineLevel="0" collapsed="false">
      <c r="A3" s="23" t="s">
        <v>112</v>
      </c>
      <c r="B3" s="24" t="s">
        <v>16</v>
      </c>
      <c r="C3" s="25" t="s">
        <v>55</v>
      </c>
      <c r="D3" s="25" t="s">
        <v>101</v>
      </c>
      <c r="E3" s="25" t="s">
        <v>113</v>
      </c>
      <c r="F3" s="25" t="s">
        <v>103</v>
      </c>
      <c r="G3" s="23" t="s">
        <v>104</v>
      </c>
      <c r="H3" s="26" t="n">
        <v>4502</v>
      </c>
      <c r="I3" s="23" t="n">
        <v>4</v>
      </c>
      <c r="J3" s="25" t="s">
        <v>114</v>
      </c>
      <c r="K3" s="23" t="s">
        <v>106</v>
      </c>
      <c r="L3" s="25" t="s">
        <v>107</v>
      </c>
      <c r="M3" s="25" t="s">
        <v>108</v>
      </c>
      <c r="N3" s="27" t="s">
        <v>115</v>
      </c>
      <c r="O3" s="27" t="s">
        <v>110</v>
      </c>
      <c r="P3" s="23" t="s">
        <v>25</v>
      </c>
      <c r="Q3" s="25" t="s">
        <v>116</v>
      </c>
    </row>
    <row r="4" customFormat="false" ht="34.5" hidden="false" customHeight="true" outlineLevel="0" collapsed="false">
      <c r="A4" s="23" t="s">
        <v>117</v>
      </c>
      <c r="B4" s="24" t="s">
        <v>16</v>
      </c>
      <c r="C4" s="25" t="s">
        <v>57</v>
      </c>
      <c r="D4" s="25" t="s">
        <v>101</v>
      </c>
      <c r="E4" s="25" t="s">
        <v>118</v>
      </c>
      <c r="F4" s="25" t="s">
        <v>119</v>
      </c>
      <c r="G4" s="23" t="s">
        <v>104</v>
      </c>
      <c r="H4" s="26" t="n">
        <v>9000</v>
      </c>
      <c r="I4" s="23" t="n">
        <v>6</v>
      </c>
      <c r="J4" s="25" t="s">
        <v>120</v>
      </c>
      <c r="K4" s="23" t="s">
        <v>106</v>
      </c>
      <c r="L4" s="25" t="s">
        <v>121</v>
      </c>
      <c r="M4" s="25" t="s">
        <v>122</v>
      </c>
      <c r="N4" s="27" t="s">
        <v>123</v>
      </c>
      <c r="O4" s="27" t="s">
        <v>124</v>
      </c>
      <c r="P4" s="23" t="s">
        <v>25</v>
      </c>
      <c r="Q4" s="25" t="s">
        <v>125</v>
      </c>
    </row>
    <row r="5" customFormat="false" ht="34.5" hidden="false" customHeight="true" outlineLevel="0" collapsed="false">
      <c r="A5" s="23" t="s">
        <v>126</v>
      </c>
      <c r="B5" s="24" t="s">
        <v>16</v>
      </c>
      <c r="C5" s="25" t="s">
        <v>59</v>
      </c>
      <c r="D5" s="25" t="s">
        <v>101</v>
      </c>
      <c r="E5" s="25" t="s">
        <v>127</v>
      </c>
      <c r="F5" s="25" t="s">
        <v>128</v>
      </c>
      <c r="G5" s="23" t="s">
        <v>104</v>
      </c>
      <c r="H5" s="26" t="n">
        <v>5680</v>
      </c>
      <c r="I5" s="23" t="n">
        <v>6</v>
      </c>
      <c r="J5" s="25" t="s">
        <v>129</v>
      </c>
      <c r="K5" s="23" t="s">
        <v>106</v>
      </c>
      <c r="L5" s="25" t="s">
        <v>130</v>
      </c>
      <c r="M5" s="25" t="s">
        <v>131</v>
      </c>
      <c r="N5" s="27" t="s">
        <v>132</v>
      </c>
      <c r="O5" s="27" t="s">
        <v>133</v>
      </c>
      <c r="P5" s="23" t="s">
        <v>27</v>
      </c>
      <c r="Q5" s="25" t="s">
        <v>134</v>
      </c>
    </row>
    <row r="6" customFormat="false" ht="34.5" hidden="false" customHeight="true" outlineLevel="0" collapsed="false">
      <c r="A6" s="23" t="s">
        <v>135</v>
      </c>
      <c r="B6" s="24" t="s">
        <v>16</v>
      </c>
      <c r="C6" s="25" t="s">
        <v>59</v>
      </c>
      <c r="D6" s="25" t="s">
        <v>101</v>
      </c>
      <c r="E6" s="25" t="s">
        <v>136</v>
      </c>
      <c r="F6" s="25" t="s">
        <v>137</v>
      </c>
      <c r="G6" s="23" t="s">
        <v>104</v>
      </c>
      <c r="H6" s="26" t="n">
        <v>9000</v>
      </c>
      <c r="I6" s="23" t="n">
        <v>2</v>
      </c>
      <c r="J6" s="25" t="s">
        <v>138</v>
      </c>
      <c r="K6" s="23" t="s">
        <v>106</v>
      </c>
      <c r="L6" s="25" t="s">
        <v>139</v>
      </c>
      <c r="M6" s="25" t="s">
        <v>131</v>
      </c>
      <c r="N6" s="27" t="s">
        <v>140</v>
      </c>
      <c r="O6" s="27" t="s">
        <v>141</v>
      </c>
      <c r="P6" s="23" t="s">
        <v>27</v>
      </c>
      <c r="Q6" s="25" t="s">
        <v>142</v>
      </c>
    </row>
    <row r="7" customFormat="false" ht="23.25" hidden="false" customHeight="true" outlineLevel="0" collapsed="false">
      <c r="A7" s="23" t="s">
        <v>143</v>
      </c>
      <c r="B7" s="24" t="s">
        <v>16</v>
      </c>
      <c r="C7" s="25" t="s">
        <v>61</v>
      </c>
      <c r="D7" s="25" t="s">
        <v>101</v>
      </c>
      <c r="E7" s="25" t="s">
        <v>144</v>
      </c>
      <c r="F7" s="25" t="s">
        <v>145</v>
      </c>
      <c r="G7" s="23" t="s">
        <v>104</v>
      </c>
      <c r="H7" s="26" t="n">
        <v>7569</v>
      </c>
      <c r="I7" s="23" t="n">
        <v>3</v>
      </c>
      <c r="J7" s="25" t="s">
        <v>146</v>
      </c>
      <c r="K7" s="23" t="s">
        <v>106</v>
      </c>
      <c r="L7" s="25" t="s">
        <v>147</v>
      </c>
      <c r="M7" s="25" t="s">
        <v>131</v>
      </c>
      <c r="N7" s="27" t="s">
        <v>148</v>
      </c>
      <c r="O7" s="28" t="s">
        <v>149</v>
      </c>
      <c r="P7" s="23" t="s">
        <v>27</v>
      </c>
      <c r="Q7" s="25" t="s">
        <v>150</v>
      </c>
    </row>
    <row r="8" customFormat="false" ht="23.25" hidden="false" customHeight="true" outlineLevel="0" collapsed="false">
      <c r="A8" s="23" t="s">
        <v>151</v>
      </c>
      <c r="B8" s="24" t="s">
        <v>16</v>
      </c>
      <c r="C8" s="25" t="s">
        <v>63</v>
      </c>
      <c r="D8" s="25" t="s">
        <v>101</v>
      </c>
      <c r="E8" s="25" t="s">
        <v>152</v>
      </c>
      <c r="F8" s="25" t="s">
        <v>153</v>
      </c>
      <c r="G8" s="23" t="s">
        <v>104</v>
      </c>
      <c r="H8" s="26" t="n">
        <v>2726</v>
      </c>
      <c r="I8" s="23" t="n">
        <v>4</v>
      </c>
      <c r="J8" s="25" t="s">
        <v>154</v>
      </c>
      <c r="K8" s="23" t="s">
        <v>106</v>
      </c>
      <c r="L8" s="25" t="s">
        <v>155</v>
      </c>
      <c r="M8" s="25" t="s">
        <v>131</v>
      </c>
      <c r="N8" s="27" t="s">
        <v>156</v>
      </c>
      <c r="O8" s="28" t="s">
        <v>149</v>
      </c>
      <c r="P8" s="23" t="s">
        <v>27</v>
      </c>
      <c r="Q8" s="25" t="s">
        <v>157</v>
      </c>
    </row>
    <row r="9" customFormat="false" ht="34.5" hidden="false" customHeight="true" outlineLevel="0" collapsed="false">
      <c r="A9" s="23" t="s">
        <v>158</v>
      </c>
      <c r="B9" s="24" t="s">
        <v>16</v>
      </c>
      <c r="C9" s="25" t="s">
        <v>159</v>
      </c>
      <c r="D9" s="25" t="s">
        <v>101</v>
      </c>
      <c r="E9" s="25" t="s">
        <v>66</v>
      </c>
      <c r="F9" s="25" t="s">
        <v>160</v>
      </c>
      <c r="G9" s="23" t="s">
        <v>104</v>
      </c>
      <c r="H9" s="26" t="n">
        <v>23000</v>
      </c>
      <c r="I9" s="23" t="n">
        <v>30</v>
      </c>
      <c r="J9" s="25" t="s">
        <v>161</v>
      </c>
      <c r="K9" s="23" t="s">
        <v>106</v>
      </c>
      <c r="L9" s="25" t="s">
        <v>162</v>
      </c>
      <c r="M9" s="25" t="s">
        <v>131</v>
      </c>
      <c r="N9" s="27" t="s">
        <v>163</v>
      </c>
      <c r="O9" s="28" t="s">
        <v>149</v>
      </c>
      <c r="P9" s="23" t="s">
        <v>27</v>
      </c>
      <c r="Q9" s="25" t="s">
        <v>164</v>
      </c>
    </row>
    <row r="10" customFormat="false" ht="23.25" hidden="false" customHeight="true" outlineLevel="0" collapsed="false">
      <c r="A10" s="23" t="s">
        <v>165</v>
      </c>
      <c r="B10" s="24" t="s">
        <v>16</v>
      </c>
      <c r="C10" s="25" t="s">
        <v>69</v>
      </c>
      <c r="D10" s="25" t="s">
        <v>101</v>
      </c>
      <c r="E10" s="25" t="s">
        <v>166</v>
      </c>
      <c r="F10" s="25" t="s">
        <v>167</v>
      </c>
      <c r="G10" s="23" t="s">
        <v>104</v>
      </c>
      <c r="H10" s="26" t="n">
        <v>1720</v>
      </c>
      <c r="I10" s="23" t="n">
        <v>5</v>
      </c>
      <c r="J10" s="25" t="s">
        <v>168</v>
      </c>
      <c r="K10" s="23" t="s">
        <v>106</v>
      </c>
      <c r="L10" s="25" t="s">
        <v>169</v>
      </c>
      <c r="M10" s="25" t="s">
        <v>170</v>
      </c>
      <c r="N10" s="27" t="s">
        <v>171</v>
      </c>
      <c r="O10" s="27" t="s">
        <v>172</v>
      </c>
      <c r="P10" s="23" t="s">
        <v>25</v>
      </c>
      <c r="Q10" s="25" t="s">
        <v>173</v>
      </c>
    </row>
    <row r="11" customFormat="false" ht="23.25" hidden="false" customHeight="true" outlineLevel="0" collapsed="false">
      <c r="A11" s="23" t="s">
        <v>174</v>
      </c>
      <c r="B11" s="24" t="s">
        <v>16</v>
      </c>
      <c r="C11" s="25" t="s">
        <v>69</v>
      </c>
      <c r="D11" s="25" t="s">
        <v>101</v>
      </c>
      <c r="E11" s="25" t="s">
        <v>175</v>
      </c>
      <c r="F11" s="25" t="s">
        <v>176</v>
      </c>
      <c r="G11" s="23" t="s">
        <v>177</v>
      </c>
      <c r="H11" s="26"/>
      <c r="I11" s="23"/>
      <c r="J11" s="25" t="s">
        <v>178</v>
      </c>
      <c r="K11" s="23" t="s">
        <v>179</v>
      </c>
      <c r="L11" s="25" t="s">
        <v>179</v>
      </c>
      <c r="M11" s="25" t="s">
        <v>179</v>
      </c>
      <c r="N11" s="27" t="s">
        <v>180</v>
      </c>
      <c r="O11" s="27" t="s">
        <v>181</v>
      </c>
      <c r="P11" s="23" t="s">
        <v>29</v>
      </c>
      <c r="Q11" s="25" t="s">
        <v>182</v>
      </c>
    </row>
    <row r="12" customFormat="false" ht="34.5" hidden="false" customHeight="true" outlineLevel="0" collapsed="false">
      <c r="A12" s="23" t="s">
        <v>183</v>
      </c>
      <c r="B12" s="24" t="s">
        <v>16</v>
      </c>
      <c r="C12" s="25" t="s">
        <v>184</v>
      </c>
      <c r="D12" s="25" t="s">
        <v>101</v>
      </c>
      <c r="E12" s="25" t="s">
        <v>185</v>
      </c>
      <c r="F12" s="25" t="s">
        <v>186</v>
      </c>
      <c r="G12" s="23" t="s">
        <v>104</v>
      </c>
      <c r="H12" s="26" t="n">
        <v>1000</v>
      </c>
      <c r="I12" s="23" t="n">
        <v>5</v>
      </c>
      <c r="J12" s="25" t="s">
        <v>187</v>
      </c>
      <c r="K12" s="23" t="s">
        <v>106</v>
      </c>
      <c r="L12" s="25" t="s">
        <v>188</v>
      </c>
      <c r="M12" s="25" t="s">
        <v>131</v>
      </c>
      <c r="N12" s="27" t="s">
        <v>189</v>
      </c>
      <c r="O12" s="27" t="s">
        <v>190</v>
      </c>
      <c r="P12" s="23" t="s">
        <v>25</v>
      </c>
      <c r="Q12" s="25" t="s">
        <v>191</v>
      </c>
    </row>
    <row r="13" customFormat="false" ht="23.25" hidden="false" customHeight="true" outlineLevel="0" collapsed="false">
      <c r="A13" s="23" t="s">
        <v>192</v>
      </c>
      <c r="B13" s="24" t="s">
        <v>16</v>
      </c>
      <c r="C13" s="25" t="s">
        <v>184</v>
      </c>
      <c r="D13" s="25" t="s">
        <v>101</v>
      </c>
      <c r="E13" s="25" t="s">
        <v>193</v>
      </c>
      <c r="F13" s="25" t="s">
        <v>176</v>
      </c>
      <c r="G13" s="23" t="s">
        <v>177</v>
      </c>
      <c r="H13" s="26"/>
      <c r="I13" s="23"/>
      <c r="J13" s="25" t="s">
        <v>178</v>
      </c>
      <c r="K13" s="23" t="s">
        <v>179</v>
      </c>
      <c r="L13" s="25" t="s">
        <v>179</v>
      </c>
      <c r="M13" s="25" t="s">
        <v>179</v>
      </c>
      <c r="N13" s="27" t="s">
        <v>194</v>
      </c>
      <c r="O13" s="27" t="s">
        <v>195</v>
      </c>
      <c r="P13" s="23" t="s">
        <v>29</v>
      </c>
      <c r="Q13" s="25" t="s">
        <v>196</v>
      </c>
    </row>
    <row r="14" customFormat="false" ht="34.5" hidden="false" customHeight="true" outlineLevel="0" collapsed="false">
      <c r="A14" s="23" t="s">
        <v>197</v>
      </c>
      <c r="B14" s="24" t="s">
        <v>16</v>
      </c>
      <c r="C14" s="25" t="s">
        <v>198</v>
      </c>
      <c r="D14" s="25" t="s">
        <v>101</v>
      </c>
      <c r="E14" s="25" t="s">
        <v>199</v>
      </c>
      <c r="F14" s="25" t="s">
        <v>200</v>
      </c>
      <c r="G14" s="23" t="s">
        <v>104</v>
      </c>
      <c r="H14" s="26" t="n">
        <v>1500</v>
      </c>
      <c r="I14" s="23" t="n">
        <v>6</v>
      </c>
      <c r="J14" s="25" t="s">
        <v>201</v>
      </c>
      <c r="K14" s="23" t="s">
        <v>106</v>
      </c>
      <c r="L14" s="25" t="s">
        <v>202</v>
      </c>
      <c r="M14" s="25" t="s">
        <v>131</v>
      </c>
      <c r="N14" s="27" t="s">
        <v>203</v>
      </c>
      <c r="O14" s="27" t="s">
        <v>204</v>
      </c>
      <c r="P14" s="23" t="s">
        <v>27</v>
      </c>
      <c r="Q14" s="25" t="s">
        <v>205</v>
      </c>
    </row>
    <row r="15" customFormat="false" ht="34.5" hidden="false" customHeight="true" outlineLevel="0" collapsed="false">
      <c r="A15" s="23" t="s">
        <v>206</v>
      </c>
      <c r="B15" s="24" t="s">
        <v>16</v>
      </c>
      <c r="C15" s="25" t="s">
        <v>75</v>
      </c>
      <c r="D15" s="25" t="s">
        <v>101</v>
      </c>
      <c r="E15" s="25" t="s">
        <v>207</v>
      </c>
      <c r="F15" s="25" t="s">
        <v>208</v>
      </c>
      <c r="G15" s="23" t="s">
        <v>104</v>
      </c>
      <c r="H15" s="26"/>
      <c r="I15" s="23"/>
      <c r="J15" s="25" t="s">
        <v>209</v>
      </c>
      <c r="K15" s="23" t="s">
        <v>210</v>
      </c>
      <c r="L15" s="25" t="s">
        <v>211</v>
      </c>
      <c r="M15" s="25" t="s">
        <v>131</v>
      </c>
      <c r="N15" s="27" t="s">
        <v>212</v>
      </c>
      <c r="O15" s="27" t="s">
        <v>213</v>
      </c>
      <c r="P15" s="23" t="s">
        <v>27</v>
      </c>
      <c r="Q15" s="25" t="s">
        <v>214</v>
      </c>
    </row>
    <row r="16" customFormat="false" ht="34.5" hidden="false" customHeight="true" outlineLevel="0" collapsed="false">
      <c r="A16" s="23" t="s">
        <v>215</v>
      </c>
      <c r="B16" s="24" t="s">
        <v>16</v>
      </c>
      <c r="C16" s="25" t="s">
        <v>77</v>
      </c>
      <c r="D16" s="25" t="s">
        <v>101</v>
      </c>
      <c r="E16" s="25" t="s">
        <v>216</v>
      </c>
      <c r="F16" s="25" t="s">
        <v>217</v>
      </c>
      <c r="G16" s="23" t="s">
        <v>104</v>
      </c>
      <c r="H16" s="26"/>
      <c r="I16" s="23" t="n">
        <v>4</v>
      </c>
      <c r="J16" s="25" t="s">
        <v>218</v>
      </c>
      <c r="K16" s="23" t="s">
        <v>106</v>
      </c>
      <c r="L16" s="25" t="s">
        <v>131</v>
      </c>
      <c r="M16" s="25" t="s">
        <v>131</v>
      </c>
      <c r="N16" s="27" t="s">
        <v>219</v>
      </c>
      <c r="O16" s="28" t="s">
        <v>149</v>
      </c>
      <c r="P16" s="23" t="s">
        <v>27</v>
      </c>
      <c r="Q16" s="25" t="s">
        <v>220</v>
      </c>
    </row>
    <row r="17" customFormat="false" ht="34.5" hidden="false" customHeight="true" outlineLevel="0" collapsed="false">
      <c r="A17" s="23" t="s">
        <v>221</v>
      </c>
      <c r="B17" s="29" t="s">
        <v>18</v>
      </c>
      <c r="C17" s="25" t="s">
        <v>77</v>
      </c>
      <c r="D17" s="25" t="s">
        <v>101</v>
      </c>
      <c r="E17" s="25" t="s">
        <v>222</v>
      </c>
      <c r="F17" s="25" t="s">
        <v>223</v>
      </c>
      <c r="G17" s="23" t="s">
        <v>224</v>
      </c>
      <c r="H17" s="26" t="n">
        <v>1373</v>
      </c>
      <c r="I17" s="23" t="n">
        <v>5</v>
      </c>
      <c r="J17" s="25" t="s">
        <v>225</v>
      </c>
      <c r="K17" s="23" t="s">
        <v>106</v>
      </c>
      <c r="L17" s="25" t="s">
        <v>226</v>
      </c>
      <c r="M17" s="25" t="s">
        <v>108</v>
      </c>
      <c r="N17" s="27" t="s">
        <v>227</v>
      </c>
      <c r="O17" s="27" t="s">
        <v>228</v>
      </c>
      <c r="P17" s="23" t="s">
        <v>25</v>
      </c>
      <c r="Q17" s="25" t="s">
        <v>229</v>
      </c>
    </row>
    <row r="18" customFormat="false" ht="23.25" hidden="false" customHeight="true" outlineLevel="0" collapsed="false">
      <c r="A18" s="23" t="s">
        <v>230</v>
      </c>
      <c r="B18" s="29" t="s">
        <v>18</v>
      </c>
      <c r="C18" s="25" t="s">
        <v>77</v>
      </c>
      <c r="D18" s="25" t="s">
        <v>101</v>
      </c>
      <c r="E18" s="25" t="s">
        <v>231</v>
      </c>
      <c r="F18" s="25" t="s">
        <v>232</v>
      </c>
      <c r="G18" s="23" t="s">
        <v>224</v>
      </c>
      <c r="H18" s="26"/>
      <c r="I18" s="23"/>
      <c r="J18" s="25" t="s">
        <v>232</v>
      </c>
      <c r="K18" s="23" t="s">
        <v>179</v>
      </c>
      <c r="L18" s="25" t="s">
        <v>179</v>
      </c>
      <c r="M18" s="25" t="s">
        <v>179</v>
      </c>
      <c r="N18" s="27" t="s">
        <v>233</v>
      </c>
      <c r="O18" s="27" t="s">
        <v>234</v>
      </c>
      <c r="P18" s="23" t="s">
        <v>29</v>
      </c>
      <c r="Q18" s="25" t="s">
        <v>235</v>
      </c>
    </row>
    <row r="19" customFormat="false" ht="23.25" hidden="false" customHeight="true" outlineLevel="0" collapsed="false">
      <c r="A19" s="23" t="s">
        <v>236</v>
      </c>
      <c r="B19" s="29" t="s">
        <v>18</v>
      </c>
      <c r="C19" s="25" t="s">
        <v>53</v>
      </c>
      <c r="D19" s="25" t="s">
        <v>101</v>
      </c>
      <c r="E19" s="25" t="s">
        <v>237</v>
      </c>
      <c r="F19" s="25" t="s">
        <v>238</v>
      </c>
      <c r="G19" s="23" t="s">
        <v>224</v>
      </c>
      <c r="H19" s="26" t="n">
        <v>8814</v>
      </c>
      <c r="I19" s="23" t="n">
        <v>6</v>
      </c>
      <c r="J19" s="25" t="s">
        <v>239</v>
      </c>
      <c r="K19" s="23" t="s">
        <v>106</v>
      </c>
      <c r="L19" s="25" t="s">
        <v>240</v>
      </c>
      <c r="M19" s="25" t="s">
        <v>131</v>
      </c>
      <c r="N19" s="27" t="s">
        <v>241</v>
      </c>
      <c r="O19" s="28" t="s">
        <v>149</v>
      </c>
      <c r="P19" s="23" t="s">
        <v>25</v>
      </c>
      <c r="Q19" s="25" t="s">
        <v>242</v>
      </c>
    </row>
    <row r="20" customFormat="false" ht="23.25" hidden="false" customHeight="true" outlineLevel="0" collapsed="false">
      <c r="A20" s="23" t="s">
        <v>243</v>
      </c>
      <c r="B20" s="29" t="s">
        <v>18</v>
      </c>
      <c r="C20" s="25" t="s">
        <v>79</v>
      </c>
      <c r="D20" s="25" t="s">
        <v>101</v>
      </c>
      <c r="E20" s="25" t="s">
        <v>244</v>
      </c>
      <c r="F20" s="25" t="s">
        <v>245</v>
      </c>
      <c r="G20" s="23" t="s">
        <v>224</v>
      </c>
      <c r="H20" s="26" t="n">
        <v>2336</v>
      </c>
      <c r="I20" s="23" t="n">
        <v>8</v>
      </c>
      <c r="J20" s="25" t="s">
        <v>246</v>
      </c>
      <c r="K20" s="23" t="s">
        <v>106</v>
      </c>
      <c r="L20" s="25" t="s">
        <v>247</v>
      </c>
      <c r="M20" s="25" t="s">
        <v>131</v>
      </c>
      <c r="N20" s="27" t="s">
        <v>248</v>
      </c>
      <c r="O20" s="28" t="s">
        <v>149</v>
      </c>
      <c r="P20" s="23" t="s">
        <v>25</v>
      </c>
      <c r="Q20" s="25" t="s">
        <v>249</v>
      </c>
    </row>
    <row r="21" customFormat="false" ht="23.25" hidden="false" customHeight="true" outlineLevel="0" collapsed="false">
      <c r="A21" s="23" t="s">
        <v>250</v>
      </c>
      <c r="B21" s="29" t="s">
        <v>18</v>
      </c>
      <c r="C21" s="25" t="s">
        <v>79</v>
      </c>
      <c r="D21" s="25" t="s">
        <v>101</v>
      </c>
      <c r="E21" s="25" t="s">
        <v>251</v>
      </c>
      <c r="F21" s="25" t="s">
        <v>224</v>
      </c>
      <c r="G21" s="23" t="s">
        <v>224</v>
      </c>
      <c r="H21" s="26"/>
      <c r="I21" s="23" t="n">
        <v>8</v>
      </c>
      <c r="J21" s="25" t="s">
        <v>252</v>
      </c>
      <c r="K21" s="23" t="s">
        <v>106</v>
      </c>
      <c r="L21" s="25" t="s">
        <v>253</v>
      </c>
      <c r="M21" s="25" t="s">
        <v>253</v>
      </c>
      <c r="N21" s="27" t="s">
        <v>254</v>
      </c>
      <c r="O21" s="27" t="s">
        <v>255</v>
      </c>
      <c r="P21" s="23" t="s">
        <v>27</v>
      </c>
      <c r="Q21" s="25" t="s">
        <v>256</v>
      </c>
    </row>
    <row r="22" customFormat="false" ht="23.25" hidden="false" customHeight="true" outlineLevel="0" collapsed="false">
      <c r="A22" s="23" t="s">
        <v>257</v>
      </c>
      <c r="B22" s="29" t="s">
        <v>18</v>
      </c>
      <c r="C22" s="25" t="s">
        <v>81</v>
      </c>
      <c r="D22" s="25" t="s">
        <v>101</v>
      </c>
      <c r="E22" s="25" t="s">
        <v>258</v>
      </c>
      <c r="F22" s="25" t="s">
        <v>259</v>
      </c>
      <c r="G22" s="23" t="s">
        <v>224</v>
      </c>
      <c r="H22" s="26" t="n">
        <v>4361</v>
      </c>
      <c r="I22" s="23" t="n">
        <v>4</v>
      </c>
      <c r="J22" s="25" t="s">
        <v>260</v>
      </c>
      <c r="K22" s="23" t="s">
        <v>106</v>
      </c>
      <c r="L22" s="25" t="s">
        <v>131</v>
      </c>
      <c r="M22" s="25" t="s">
        <v>131</v>
      </c>
      <c r="N22" s="27" t="s">
        <v>261</v>
      </c>
      <c r="O22" s="28" t="s">
        <v>149</v>
      </c>
      <c r="P22" s="23" t="s">
        <v>27</v>
      </c>
      <c r="Q22" s="25" t="s">
        <v>262</v>
      </c>
    </row>
    <row r="23" customFormat="false" ht="45.75" hidden="false" customHeight="true" outlineLevel="0" collapsed="false">
      <c r="A23" s="23" t="s">
        <v>263</v>
      </c>
      <c r="B23" s="29" t="s">
        <v>18</v>
      </c>
      <c r="C23" s="25" t="s">
        <v>264</v>
      </c>
      <c r="D23" s="25" t="s">
        <v>101</v>
      </c>
      <c r="E23" s="25" t="s">
        <v>265</v>
      </c>
      <c r="F23" s="25" t="s">
        <v>266</v>
      </c>
      <c r="G23" s="23" t="s">
        <v>224</v>
      </c>
      <c r="H23" s="26" t="n">
        <v>1545</v>
      </c>
      <c r="I23" s="23"/>
      <c r="J23" s="25" t="s">
        <v>267</v>
      </c>
      <c r="K23" s="23" t="s">
        <v>106</v>
      </c>
      <c r="L23" s="25" t="s">
        <v>268</v>
      </c>
      <c r="M23" s="25" t="s">
        <v>131</v>
      </c>
      <c r="N23" s="27" t="s">
        <v>269</v>
      </c>
      <c r="O23" s="28" t="s">
        <v>149</v>
      </c>
      <c r="P23" s="23" t="s">
        <v>25</v>
      </c>
      <c r="Q23" s="25" t="s">
        <v>270</v>
      </c>
    </row>
    <row r="24" customFormat="false" ht="34.5" hidden="false" customHeight="true" outlineLevel="0" collapsed="false">
      <c r="A24" s="23" t="s">
        <v>271</v>
      </c>
      <c r="B24" s="30" t="s">
        <v>20</v>
      </c>
      <c r="C24" s="25" t="s">
        <v>272</v>
      </c>
      <c r="D24" s="25" t="s">
        <v>273</v>
      </c>
      <c r="E24" s="25" t="s">
        <v>274</v>
      </c>
      <c r="F24" s="25" t="s">
        <v>275</v>
      </c>
      <c r="G24" s="23" t="s">
        <v>104</v>
      </c>
      <c r="H24" s="26" t="n">
        <v>16225</v>
      </c>
      <c r="I24" s="23" t="n">
        <v>13</v>
      </c>
      <c r="J24" s="25" t="s">
        <v>276</v>
      </c>
      <c r="K24" s="23" t="s">
        <v>106</v>
      </c>
      <c r="L24" s="25" t="s">
        <v>277</v>
      </c>
      <c r="M24" s="25" t="s">
        <v>278</v>
      </c>
      <c r="N24" s="27" t="s">
        <v>279</v>
      </c>
      <c r="O24" s="27" t="s">
        <v>280</v>
      </c>
      <c r="P24" s="23" t="s">
        <v>25</v>
      </c>
      <c r="Q24" s="25" t="s">
        <v>281</v>
      </c>
    </row>
    <row r="25" customFormat="false" ht="23.25" hidden="false" customHeight="true" outlineLevel="0" collapsed="false">
      <c r="A25" s="23" t="s">
        <v>282</v>
      </c>
      <c r="B25" s="30" t="s">
        <v>20</v>
      </c>
      <c r="C25" s="25" t="s">
        <v>283</v>
      </c>
      <c r="D25" s="25" t="s">
        <v>273</v>
      </c>
      <c r="E25" s="25" t="s">
        <v>284</v>
      </c>
      <c r="F25" s="25" t="s">
        <v>285</v>
      </c>
      <c r="G25" s="23" t="s">
        <v>104</v>
      </c>
      <c r="H25" s="26" t="n">
        <v>2569</v>
      </c>
      <c r="I25" s="23" t="n">
        <v>5</v>
      </c>
      <c r="J25" s="25" t="s">
        <v>286</v>
      </c>
      <c r="K25" s="23" t="s">
        <v>106</v>
      </c>
      <c r="L25" s="25" t="s">
        <v>287</v>
      </c>
      <c r="M25" s="25" t="s">
        <v>131</v>
      </c>
      <c r="N25" s="27" t="s">
        <v>288</v>
      </c>
      <c r="O25" s="28" t="s">
        <v>149</v>
      </c>
      <c r="P25" s="23" t="s">
        <v>27</v>
      </c>
      <c r="Q25" s="25" t="s">
        <v>289</v>
      </c>
    </row>
    <row r="26" customFormat="false" ht="23.25" hidden="false" customHeight="true" outlineLevel="0" collapsed="false">
      <c r="A26" s="23" t="s">
        <v>290</v>
      </c>
      <c r="B26" s="31" t="s">
        <v>22</v>
      </c>
      <c r="C26" s="25" t="s">
        <v>291</v>
      </c>
      <c r="D26" s="25" t="s">
        <v>292</v>
      </c>
      <c r="E26" s="25" t="s">
        <v>293</v>
      </c>
      <c r="F26" s="25" t="s">
        <v>131</v>
      </c>
      <c r="G26" s="23" t="s">
        <v>294</v>
      </c>
      <c r="H26" s="26" t="n">
        <v>2889</v>
      </c>
      <c r="I26" s="23" t="n">
        <v>5</v>
      </c>
      <c r="J26" s="25" t="s">
        <v>295</v>
      </c>
      <c r="K26" s="23" t="s">
        <v>106</v>
      </c>
      <c r="L26" s="25" t="s">
        <v>296</v>
      </c>
      <c r="M26" s="25" t="s">
        <v>131</v>
      </c>
      <c r="N26" s="28" t="s">
        <v>149</v>
      </c>
      <c r="O26" s="27" t="s">
        <v>297</v>
      </c>
      <c r="P26" s="23" t="s">
        <v>27</v>
      </c>
      <c r="Q26" s="25" t="s">
        <v>298</v>
      </c>
    </row>
    <row r="27" customFormat="false" ht="23.25" hidden="false" customHeight="true" outlineLevel="0" collapsed="false">
      <c r="A27" s="23" t="s">
        <v>299</v>
      </c>
      <c r="B27" s="31" t="s">
        <v>22</v>
      </c>
      <c r="C27" s="25" t="s">
        <v>300</v>
      </c>
      <c r="D27" s="25" t="s">
        <v>292</v>
      </c>
      <c r="E27" s="25" t="s">
        <v>301</v>
      </c>
      <c r="F27" s="25" t="s">
        <v>131</v>
      </c>
      <c r="G27" s="23" t="s">
        <v>302</v>
      </c>
      <c r="H27" s="26"/>
      <c r="I27" s="23"/>
      <c r="J27" s="25" t="s">
        <v>303</v>
      </c>
      <c r="K27" s="23" t="s">
        <v>304</v>
      </c>
      <c r="L27" s="25" t="s">
        <v>131</v>
      </c>
      <c r="M27" s="25" t="s">
        <v>131</v>
      </c>
      <c r="N27" s="27" t="s">
        <v>305</v>
      </c>
      <c r="O27" s="28" t="s">
        <v>149</v>
      </c>
      <c r="P27" s="23" t="s">
        <v>27</v>
      </c>
      <c r="Q27" s="25" t="s">
        <v>306</v>
      </c>
    </row>
    <row r="28" customFormat="false" ht="23.25" hidden="false" customHeight="true" outlineLevel="0" collapsed="false">
      <c r="A28" s="23" t="s">
        <v>307</v>
      </c>
      <c r="B28" s="31" t="s">
        <v>22</v>
      </c>
      <c r="C28" s="25" t="s">
        <v>308</v>
      </c>
      <c r="D28" s="25" t="s">
        <v>292</v>
      </c>
      <c r="E28" s="25" t="s">
        <v>309</v>
      </c>
      <c r="F28" s="25" t="s">
        <v>131</v>
      </c>
      <c r="G28" s="23" t="s">
        <v>131</v>
      </c>
      <c r="H28" s="26" t="n">
        <v>7167</v>
      </c>
      <c r="I28" s="23" t="n">
        <v>6</v>
      </c>
      <c r="J28" s="25" t="s">
        <v>310</v>
      </c>
      <c r="K28" s="23" t="s">
        <v>304</v>
      </c>
      <c r="L28" s="25" t="s">
        <v>131</v>
      </c>
      <c r="M28" s="25" t="s">
        <v>131</v>
      </c>
      <c r="N28" s="27" t="s">
        <v>311</v>
      </c>
      <c r="O28" s="28" t="s">
        <v>149</v>
      </c>
      <c r="P28" s="23" t="s">
        <v>27</v>
      </c>
      <c r="Q28" s="25" t="s">
        <v>312</v>
      </c>
    </row>
    <row r="29" customFormat="false" ht="23.25" hidden="false" customHeight="true" outlineLevel="0" collapsed="false">
      <c r="A29" s="23" t="s">
        <v>313</v>
      </c>
      <c r="B29" s="31" t="s">
        <v>22</v>
      </c>
      <c r="C29" s="25" t="s">
        <v>314</v>
      </c>
      <c r="D29" s="25" t="s">
        <v>292</v>
      </c>
      <c r="E29" s="25" t="s">
        <v>315</v>
      </c>
      <c r="F29" s="25" t="s">
        <v>316</v>
      </c>
      <c r="G29" s="23" t="s">
        <v>104</v>
      </c>
      <c r="H29" s="26" t="n">
        <v>300</v>
      </c>
      <c r="I29" s="23" t="n">
        <v>6</v>
      </c>
      <c r="J29" s="25" t="s">
        <v>317</v>
      </c>
      <c r="K29" s="23" t="s">
        <v>106</v>
      </c>
      <c r="L29" s="25" t="s">
        <v>188</v>
      </c>
      <c r="M29" s="25" t="s">
        <v>318</v>
      </c>
      <c r="N29" s="27" t="s">
        <v>319</v>
      </c>
      <c r="O29" s="27" t="s">
        <v>320</v>
      </c>
      <c r="P29" s="23" t="s">
        <v>25</v>
      </c>
      <c r="Q29" s="25" t="s">
        <v>321</v>
      </c>
    </row>
    <row r="30" customFormat="false" ht="23.25" hidden="false" customHeight="true" outlineLevel="0" collapsed="false">
      <c r="A30" s="23" t="s">
        <v>322</v>
      </c>
      <c r="B30" s="31" t="s">
        <v>22</v>
      </c>
      <c r="C30" s="25" t="s">
        <v>323</v>
      </c>
      <c r="D30" s="25" t="s">
        <v>292</v>
      </c>
      <c r="E30" s="25" t="s">
        <v>324</v>
      </c>
      <c r="F30" s="25" t="s">
        <v>325</v>
      </c>
      <c r="G30" s="23" t="s">
        <v>326</v>
      </c>
      <c r="H30" s="26" t="n">
        <v>2598</v>
      </c>
      <c r="I30" s="23" t="n">
        <v>17</v>
      </c>
      <c r="J30" s="25" t="s">
        <v>327</v>
      </c>
      <c r="K30" s="23" t="s">
        <v>106</v>
      </c>
      <c r="L30" s="25" t="s">
        <v>328</v>
      </c>
      <c r="M30" s="25" t="s">
        <v>329</v>
      </c>
      <c r="N30" s="27" t="s">
        <v>330</v>
      </c>
      <c r="O30" s="27" t="s">
        <v>331</v>
      </c>
      <c r="P30" s="23" t="s">
        <v>25</v>
      </c>
      <c r="Q30" s="25" t="s">
        <v>332</v>
      </c>
    </row>
    <row r="31" customFormat="false" ht="23.25" hidden="false" customHeight="true" outlineLevel="0" collapsed="false">
      <c r="A31" s="23" t="s">
        <v>333</v>
      </c>
      <c r="B31" s="31" t="s">
        <v>22</v>
      </c>
      <c r="C31" s="25" t="s">
        <v>65</v>
      </c>
      <c r="D31" s="25" t="s">
        <v>292</v>
      </c>
      <c r="E31" s="25" t="s">
        <v>334</v>
      </c>
      <c r="F31" s="25" t="s">
        <v>335</v>
      </c>
      <c r="G31" s="23" t="s">
        <v>336</v>
      </c>
      <c r="H31" s="26" t="n">
        <v>1288</v>
      </c>
      <c r="I31" s="23" t="n">
        <v>3</v>
      </c>
      <c r="J31" s="25" t="s">
        <v>337</v>
      </c>
      <c r="K31" s="23" t="s">
        <v>106</v>
      </c>
      <c r="L31" s="25" t="s">
        <v>338</v>
      </c>
      <c r="M31" s="25" t="s">
        <v>131</v>
      </c>
      <c r="N31" s="27" t="s">
        <v>339</v>
      </c>
      <c r="O31" s="28" t="s">
        <v>149</v>
      </c>
      <c r="P31" s="23" t="s">
        <v>25</v>
      </c>
      <c r="Q31" s="25" t="s">
        <v>340</v>
      </c>
    </row>
    <row r="32" customFormat="false" ht="23.25" hidden="false" customHeight="true" outlineLevel="0" collapsed="false">
      <c r="A32" s="23" t="s">
        <v>341</v>
      </c>
      <c r="B32" s="31" t="s">
        <v>22</v>
      </c>
      <c r="C32" s="25" t="s">
        <v>342</v>
      </c>
      <c r="D32" s="25" t="s">
        <v>292</v>
      </c>
      <c r="E32" s="25" t="s">
        <v>343</v>
      </c>
      <c r="F32" s="25" t="s">
        <v>232</v>
      </c>
      <c r="G32" s="23" t="s">
        <v>232</v>
      </c>
      <c r="H32" s="26" t="n">
        <v>5798</v>
      </c>
      <c r="I32" s="23"/>
      <c r="J32" s="25" t="s">
        <v>232</v>
      </c>
      <c r="K32" s="23" t="s">
        <v>179</v>
      </c>
      <c r="L32" s="25" t="s">
        <v>179</v>
      </c>
      <c r="M32" s="25" t="s">
        <v>179</v>
      </c>
      <c r="N32" s="27" t="s">
        <v>344</v>
      </c>
      <c r="O32" s="27" t="s">
        <v>345</v>
      </c>
      <c r="P32" s="23" t="s">
        <v>29</v>
      </c>
      <c r="Q32" s="25" t="s">
        <v>346</v>
      </c>
    </row>
    <row r="33" customFormat="false" ht="23.25" hidden="false" customHeight="true" outlineLevel="0" collapsed="false">
      <c r="A33" s="23" t="s">
        <v>347</v>
      </c>
      <c r="B33" s="31" t="s">
        <v>22</v>
      </c>
      <c r="C33" s="25" t="s">
        <v>348</v>
      </c>
      <c r="D33" s="25" t="s">
        <v>292</v>
      </c>
      <c r="E33" s="25" t="s">
        <v>349</v>
      </c>
      <c r="F33" s="25"/>
      <c r="G33" s="23"/>
      <c r="H33" s="26"/>
      <c r="I33" s="23"/>
      <c r="J33" s="25" t="s">
        <v>350</v>
      </c>
      <c r="K33" s="23"/>
      <c r="L33" s="25"/>
      <c r="M33" s="25"/>
      <c r="N33" s="28" t="s">
        <v>149</v>
      </c>
      <c r="O33" s="27" t="s">
        <v>351</v>
      </c>
      <c r="P33" s="23" t="s">
        <v>25</v>
      </c>
      <c r="Q33" s="25" t="s">
        <v>352</v>
      </c>
    </row>
    <row r="34" customFormat="false" ht="23.25" hidden="false" customHeight="true" outlineLevel="0" collapsed="false">
      <c r="A34" s="23" t="s">
        <v>353</v>
      </c>
      <c r="B34" s="31" t="s">
        <v>22</v>
      </c>
      <c r="C34" s="25" t="s">
        <v>354</v>
      </c>
      <c r="D34" s="25" t="s">
        <v>292</v>
      </c>
      <c r="E34" s="25" t="s">
        <v>355</v>
      </c>
      <c r="F34" s="25" t="s">
        <v>131</v>
      </c>
      <c r="G34" s="23" t="s">
        <v>131</v>
      </c>
      <c r="H34" s="26"/>
      <c r="I34" s="23"/>
      <c r="J34" s="25" t="s">
        <v>131</v>
      </c>
      <c r="K34" s="23" t="s">
        <v>179</v>
      </c>
      <c r="L34" s="25" t="s">
        <v>179</v>
      </c>
      <c r="M34" s="25" t="s">
        <v>131</v>
      </c>
      <c r="N34" s="27" t="s">
        <v>356</v>
      </c>
      <c r="O34" s="28" t="s">
        <v>149</v>
      </c>
      <c r="P34" s="23" t="s">
        <v>29</v>
      </c>
      <c r="Q34" s="25" t="s">
        <v>357</v>
      </c>
    </row>
    <row r="36" customFormat="false" ht="15" hidden="false" customHeight="true" outlineLevel="0" collapsed="false">
      <c r="A36" s="3" t="s">
        <v>358</v>
      </c>
    </row>
  </sheetData>
  <autoFilter ref="A1:Q34"/>
  <conditionalFormatting sqref="P2:P34">
    <cfRule type="expression" priority="2" aboveAverage="0" equalAverage="0" bottom="0" percent="0" rank="0" text="" dxfId="12">
      <formula>$P2="Verified"</formula>
    </cfRule>
    <cfRule type="expression" priority="3" aboveAverage="0" equalAverage="0" bottom="0" percent="0" rank="0" text="" dxfId="13">
      <formula>$P2="Partial"</formula>
    </cfRule>
    <cfRule type="expression" priority="4" aboveAverage="0" equalAverage="0" bottom="0" percent="0" rank="0" text="" dxfId="14">
      <formula>$P2="Not verified"</formula>
    </cfRule>
  </conditionalFormatting>
  <conditionalFormatting sqref="K2:K34">
    <cfRule type="expression" priority="5" aboveAverage="0" equalAverage="0" bottom="0" percent="0" rank="0" text="" dxfId="14">
      <formula>$K2="No"</formula>
    </cfRule>
  </conditionalFormatting>
  <hyperlinks>
    <hyperlink ref="N2" r:id="rId1" display="https://data.mendeley.com/datasets/tf9dtfz9m6/3"/>
    <hyperlink ref="O2" r:id="rId2" display="https://pmc.ncbi.nlm.nih.gov/articles/PMC11170091/"/>
    <hyperlink ref="N3" r:id="rId3" display="https://data.mendeley.com/datasets/7nxxn4gj5s/3"/>
    <hyperlink ref="O3" r:id="rId4" display="https://pmc.ncbi.nlm.nih.gov/articles/PMC11170091/"/>
    <hyperlink ref="N4" r:id="rId5" display="https://data.mendeley.com/datasets/94fzcdz8gz/1"/>
    <hyperlink ref="O4" r:id="rId6" display="https://www.sciencedirect.com/science/article/pii/S2352340925009722"/>
    <hyperlink ref="N5" r:id="rId7" display="https://data.mendeley.com/datasets/hkbgh5s3b7/1"/>
    <hyperlink ref="O5" r:id="rId8" display="https://www.sciencedirect.com/science/article/pii/S2352340925002495"/>
    <hyperlink ref="N6" r:id="rId9" display="https://data.mendeley.com/datasets/w2r855hpx8/2"/>
    <hyperlink ref="O6" r:id="rId10" display="https://pmc.ncbi.nlm.nih.gov/articles/PMC10415694/"/>
    <hyperlink ref="N7" r:id="rId11" display="https://data.mendeley.com/datasets/9m2dcb5mmr/3"/>
    <hyperlink ref="N8" r:id="rId12" display="https://data.mendeley.com/datasets/8nnd2ypcv3/1"/>
    <hyperlink ref="N9" r:id="rId13" display="https://data.mendeley.com/datasets/6243z8r6t6/1"/>
    <hyperlink ref="N10" r:id="rId14" display="https://data.mendeley.com/datasets/x6x5jkk873/2"/>
    <hyperlink ref="O10" r:id="rId15" display="https://pmc.ncbi.nlm.nih.gov/articles/PMC11327543/"/>
    <hyperlink ref="N11" r:id="rId16" display="https://data.mendeley.com/datasets/22p2vcbxfk/3"/>
    <hyperlink ref="O11" r:id="rId17" display="https://pmc.ncbi.nlm.nih.gov/articles/PMC10293989/"/>
    <hyperlink ref="N12" r:id="rId18" display="https://data.mendeley.com/datasets/zfcv9fmrgv/3"/>
    <hyperlink ref="O12" r:id="rId19" display="https://pmc.ncbi.nlm.nih.gov/articles/PMC9679724/"/>
    <hyperlink ref="N13" r:id="rId20" display="https://data.mendeley.com/datasets/z55yrbmn2d/3"/>
    <hyperlink ref="O13" r:id="rId21" display="https://pmc.ncbi.nlm.nih.gov/articles/PMC11847223/"/>
    <hyperlink ref="N14" r:id="rId22" display="https://data.mendeley.com/datasets/nh7zk4hv8z/1"/>
    <hyperlink ref="O14" r:id="rId23" display="https://pubmed.ncbi.nlm.nih.gov/40687361/"/>
    <hyperlink ref="N15" r:id="rId24" display="https://github.com/mamta-joshi-gehlot/Tomato-Village"/>
    <hyperlink ref="O15" r:id="rId25" display="https://link.springer.com/article/10.1007/s00530-023-01158-y"/>
    <hyperlink ref="N16" r:id="rId26" display="https://data.mendeley.com/datasets/74jsdxtmx2/1"/>
    <hyperlink ref="N17" r:id="rId27" display="https://data.mendeley.com/datasets/t9hgvk2h9p/1"/>
    <hyperlink ref="O17" r:id="rId28" display="https://pmc.ncbi.nlm.nih.gov/articles/PMC12557508/"/>
    <hyperlink ref="N18" r:id="rId29" display="https://data.mendeley.com/datasets/b3jy2p6k8w/2"/>
    <hyperlink ref="O18" r:id="rId30" display="https://www.sciencedirect.com/science/article/pii/S235234092400876X"/>
    <hyperlink ref="N19" r:id="rId31" display="https://data.mendeley.com/datasets/tm3v4zmh7c/1"/>
    <hyperlink ref="N20" r:id="rId32" display="https://data.mendeley.com/datasets/7ghdbftp54/1"/>
    <hyperlink ref="N21" r:id="rId33" display="https://data.mendeley.com/datasets/hxsnvwty3r/1"/>
    <hyperlink ref="O21" r:id="rId34" display="https://pmc.ncbi.nlm.nih.gov/articles/PMC9932726/"/>
    <hyperlink ref="N22" r:id="rId35" display="https://data.mendeley.com/datasets/jtttfbx342/1"/>
    <hyperlink ref="N23" r:id="rId36" display="https://data.mendeley.com/datasets/hgshn2zg3t/1"/>
    <hyperlink ref="N24" r:id="rId37" display="https://paddydoc.github.io/dataset/"/>
    <hyperlink ref="O24" r:id="rId38" display="https://arxiv.org/abs/2205.11108"/>
    <hyperlink ref="N25" r:id="rId39" display="https://data.mendeley.com/datasets/9424skmnrk/1"/>
    <hyperlink ref="O26" r:id="rId40" display="https://jisem-journal.com/index.php/journal/article/view/2872"/>
    <hyperlink ref="N27" r:id="rId41" display="https://www.kaggle.com/datasets/tolgahayit/fusarium-wilt-disease-in-chickpea-dataset"/>
    <hyperlink ref="N28" r:id="rId42" display="https://data.mendeley.com/datasets/fgb3cmfrg2/1"/>
    <hyperlink ref="N29" r:id="rId43" display="https://github.com/BeenaPradeep/ARECANUT-DATASET"/>
    <hyperlink ref="O29" r:id="rId44" display="https://ieee-dataport.org/documents/arecanut-disease-detection-dataset-6-classes-field-images-karnataka-india"/>
    <hyperlink ref="N30" r:id="rId45" display="https://github.com/pratikkayal/PlantDoc-Dataset"/>
    <hyperlink ref="O30" r:id="rId46" display="https://arxiv.org/pdf/1911.10317"/>
    <hyperlink ref="N31" r:id="rId47" display="https://data.mendeley.com/datasets/rjykr62kdh/1"/>
    <hyperlink ref="N32" r:id="rId48" display="https://www.kaggle.com/datasets/nagabushan/coconut-tree-disease-dataset"/>
    <hyperlink ref="O32" r:id="rId49" display="https://www.sciencedirect.com/science/article/pii/S2352340923007692"/>
    <hyperlink ref="O33" r:id="rId50" display="https://iopscience.iop.org/article/10.1088/2515-7620/ad8415"/>
    <hyperlink ref="N34" r:id="rId51" display="https://www.kaggle.com/datasets/kamal01/top-agriculture-crop-diseas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24"/>
    <col collapsed="false" customWidth="true" hidden="false" outlineLevel="0" max="5" min="5" style="1" width="48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8" min="8" style="1" width="28"/>
    <col collapsed="false" customWidth="true" hidden="false" outlineLevel="0" max="9" min="9" style="1" width="18"/>
    <col collapsed="false" customWidth="true" hidden="false" outlineLevel="0" max="10" min="10" style="1" width="28"/>
    <col collapsed="false" customWidth="true" hidden="false" outlineLevel="0" max="11" min="11" style="1" width="32"/>
    <col collapsed="false" customWidth="true" hidden="false" outlineLevel="0" max="12" min="12" style="1" width="36"/>
    <col collapsed="false" customWidth="true" hidden="false" outlineLevel="0" max="13" min="13" style="1" width="18"/>
    <col collapsed="false" customWidth="true" hidden="false" outlineLevel="0" max="15" min="14" style="1" width="44"/>
    <col collapsed="false" customWidth="true" hidden="false" outlineLevel="0" max="16" min="16" style="1" width="40"/>
    <col collapsed="false" customWidth="true" hidden="false" outlineLevel="0" max="18" min="17" style="1" width="12"/>
    <col collapsed="false" customWidth="true" hidden="false" outlineLevel="0" max="19" min="19" style="1" width="40"/>
  </cols>
  <sheetData>
    <row r="1" customFormat="false" ht="31.5" hidden="false" customHeight="true" outlineLevel="0" collapsed="false">
      <c r="A1" s="12" t="s">
        <v>85</v>
      </c>
      <c r="B1" s="12" t="s">
        <v>86</v>
      </c>
      <c r="C1" s="12" t="s">
        <v>359</v>
      </c>
      <c r="D1" s="12" t="s">
        <v>360</v>
      </c>
      <c r="E1" s="12" t="s">
        <v>361</v>
      </c>
      <c r="F1" s="12" t="s">
        <v>362</v>
      </c>
      <c r="G1" s="12" t="s">
        <v>363</v>
      </c>
      <c r="H1" s="12" t="s">
        <v>364</v>
      </c>
      <c r="I1" s="12" t="s">
        <v>365</v>
      </c>
      <c r="J1" s="12" t="s">
        <v>95</v>
      </c>
      <c r="K1" s="12" t="s">
        <v>366</v>
      </c>
      <c r="L1" s="12" t="s">
        <v>367</v>
      </c>
      <c r="M1" s="12" t="s">
        <v>368</v>
      </c>
      <c r="N1" s="12" t="s">
        <v>369</v>
      </c>
      <c r="O1" s="12" t="s">
        <v>370</v>
      </c>
      <c r="P1" s="12" t="s">
        <v>371</v>
      </c>
      <c r="Q1" s="12" t="s">
        <v>98</v>
      </c>
      <c r="R1" s="12" t="s">
        <v>372</v>
      </c>
      <c r="S1" s="12" t="s">
        <v>373</v>
      </c>
    </row>
    <row r="2" customFormat="false" ht="45.75" hidden="false" customHeight="true" outlineLevel="0" collapsed="false">
      <c r="A2" s="23" t="s">
        <v>374</v>
      </c>
      <c r="B2" s="30" t="s">
        <v>375</v>
      </c>
      <c r="C2" s="25" t="s">
        <v>376</v>
      </c>
      <c r="D2" s="25" t="s">
        <v>377</v>
      </c>
      <c r="E2" s="25" t="s">
        <v>378</v>
      </c>
      <c r="F2" s="23" t="s">
        <v>379</v>
      </c>
      <c r="G2" s="25" t="s">
        <v>380</v>
      </c>
      <c r="H2" s="25" t="s">
        <v>381</v>
      </c>
      <c r="I2" s="23" t="s">
        <v>382</v>
      </c>
      <c r="J2" s="25" t="s">
        <v>383</v>
      </c>
      <c r="K2" s="25" t="s">
        <v>384</v>
      </c>
      <c r="L2" s="25" t="s">
        <v>385</v>
      </c>
      <c r="M2" s="32" t="s">
        <v>386</v>
      </c>
      <c r="N2" s="25" t="s">
        <v>387</v>
      </c>
      <c r="O2" s="27" t="s">
        <v>388</v>
      </c>
      <c r="P2" s="27" t="s">
        <v>389</v>
      </c>
      <c r="Q2" s="23" t="s">
        <v>25</v>
      </c>
      <c r="R2" s="33" t="s">
        <v>390</v>
      </c>
      <c r="S2" s="25" t="s">
        <v>391</v>
      </c>
    </row>
    <row r="3" customFormat="false" ht="45.75" hidden="false" customHeight="true" outlineLevel="0" collapsed="false">
      <c r="A3" s="23" t="s">
        <v>392</v>
      </c>
      <c r="B3" s="30" t="s">
        <v>393</v>
      </c>
      <c r="C3" s="25" t="s">
        <v>394</v>
      </c>
      <c r="D3" s="25" t="s">
        <v>395</v>
      </c>
      <c r="E3" s="25" t="s">
        <v>396</v>
      </c>
      <c r="F3" s="23" t="s">
        <v>397</v>
      </c>
      <c r="G3" s="25" t="s">
        <v>398</v>
      </c>
      <c r="H3" s="25" t="s">
        <v>399</v>
      </c>
      <c r="I3" s="23" t="s">
        <v>400</v>
      </c>
      <c r="J3" s="25" t="s">
        <v>401</v>
      </c>
      <c r="K3" s="25" t="s">
        <v>402</v>
      </c>
      <c r="L3" s="25" t="s">
        <v>403</v>
      </c>
      <c r="M3" s="34" t="s">
        <v>404</v>
      </c>
      <c r="N3" s="25" t="s">
        <v>405</v>
      </c>
      <c r="O3" s="27" t="s">
        <v>406</v>
      </c>
      <c r="P3" s="28" t="s">
        <v>149</v>
      </c>
      <c r="Q3" s="23" t="s">
        <v>25</v>
      </c>
      <c r="R3" s="33" t="s">
        <v>390</v>
      </c>
      <c r="S3" s="25" t="s">
        <v>391</v>
      </c>
    </row>
    <row r="4" customFormat="false" ht="34.5" hidden="false" customHeight="true" outlineLevel="0" collapsed="false">
      <c r="A4" s="23" t="s">
        <v>407</v>
      </c>
      <c r="B4" s="30" t="s">
        <v>393</v>
      </c>
      <c r="C4" s="25" t="s">
        <v>408</v>
      </c>
      <c r="D4" s="25" t="s">
        <v>409</v>
      </c>
      <c r="E4" s="25" t="s">
        <v>410</v>
      </c>
      <c r="F4" s="23" t="s">
        <v>411</v>
      </c>
      <c r="G4" s="25" t="s">
        <v>412</v>
      </c>
      <c r="H4" s="25" t="s">
        <v>413</v>
      </c>
      <c r="I4" s="23" t="s">
        <v>400</v>
      </c>
      <c r="J4" s="25" t="s">
        <v>414</v>
      </c>
      <c r="K4" s="25" t="s">
        <v>415</v>
      </c>
      <c r="L4" s="25" t="s">
        <v>416</v>
      </c>
      <c r="M4" s="34" t="s">
        <v>404</v>
      </c>
      <c r="N4" s="25" t="s">
        <v>417</v>
      </c>
      <c r="O4" s="27" t="s">
        <v>418</v>
      </c>
      <c r="P4" s="28" t="s">
        <v>149</v>
      </c>
      <c r="Q4" s="23" t="s">
        <v>25</v>
      </c>
      <c r="R4" s="33" t="s">
        <v>390</v>
      </c>
      <c r="S4" s="25" t="s">
        <v>391</v>
      </c>
    </row>
    <row r="5" customFormat="false" ht="45.75" hidden="false" customHeight="true" outlineLevel="0" collapsed="false">
      <c r="A5" s="23" t="s">
        <v>419</v>
      </c>
      <c r="B5" s="30" t="s">
        <v>393</v>
      </c>
      <c r="C5" s="25" t="s">
        <v>420</v>
      </c>
      <c r="D5" s="25" t="s">
        <v>421</v>
      </c>
      <c r="E5" s="25" t="s">
        <v>422</v>
      </c>
      <c r="F5" s="23" t="s">
        <v>423</v>
      </c>
      <c r="G5" s="25" t="s">
        <v>424</v>
      </c>
      <c r="H5" s="25" t="s">
        <v>425</v>
      </c>
      <c r="I5" s="23" t="s">
        <v>426</v>
      </c>
      <c r="J5" s="25" t="s">
        <v>427</v>
      </c>
      <c r="K5" s="25" t="s">
        <v>428</v>
      </c>
      <c r="L5" s="25" t="s">
        <v>429</v>
      </c>
      <c r="M5" s="32" t="s">
        <v>386</v>
      </c>
      <c r="N5" s="25" t="s">
        <v>430</v>
      </c>
      <c r="O5" s="27" t="s">
        <v>431</v>
      </c>
      <c r="P5" s="27" t="s">
        <v>432</v>
      </c>
      <c r="Q5" s="23" t="s">
        <v>27</v>
      </c>
      <c r="R5" s="35" t="s">
        <v>433</v>
      </c>
      <c r="S5" s="25" t="s">
        <v>434</v>
      </c>
    </row>
    <row r="6" customFormat="false" ht="34.5" hidden="false" customHeight="true" outlineLevel="0" collapsed="false">
      <c r="A6" s="23" t="s">
        <v>435</v>
      </c>
      <c r="B6" s="30" t="s">
        <v>393</v>
      </c>
      <c r="C6" s="25" t="s">
        <v>436</v>
      </c>
      <c r="D6" s="25" t="s">
        <v>437</v>
      </c>
      <c r="E6" s="25" t="s">
        <v>438</v>
      </c>
      <c r="F6" s="23" t="s">
        <v>439</v>
      </c>
      <c r="G6" s="25" t="s">
        <v>440</v>
      </c>
      <c r="H6" s="25" t="s">
        <v>441</v>
      </c>
      <c r="I6" s="23" t="s">
        <v>442</v>
      </c>
      <c r="J6" s="25" t="s">
        <v>443</v>
      </c>
      <c r="K6" s="25" t="s">
        <v>444</v>
      </c>
      <c r="L6" s="25" t="s">
        <v>445</v>
      </c>
      <c r="M6" s="32" t="s">
        <v>386</v>
      </c>
      <c r="N6" s="25" t="s">
        <v>446</v>
      </c>
      <c r="O6" s="27" t="s">
        <v>447</v>
      </c>
      <c r="P6" s="27" t="s">
        <v>448</v>
      </c>
      <c r="Q6" s="23" t="s">
        <v>27</v>
      </c>
      <c r="R6" s="36" t="s">
        <v>449</v>
      </c>
      <c r="S6" s="25" t="s">
        <v>450</v>
      </c>
    </row>
    <row r="7" customFormat="false" ht="34.5" hidden="false" customHeight="true" outlineLevel="0" collapsed="false">
      <c r="A7" s="23" t="s">
        <v>451</v>
      </c>
      <c r="B7" s="37" t="s">
        <v>452</v>
      </c>
      <c r="C7" s="25" t="s">
        <v>453</v>
      </c>
      <c r="D7" s="25" t="s">
        <v>454</v>
      </c>
      <c r="E7" s="25" t="s">
        <v>455</v>
      </c>
      <c r="F7" s="23" t="s">
        <v>456</v>
      </c>
      <c r="G7" s="25" t="s">
        <v>457</v>
      </c>
      <c r="H7" s="25" t="s">
        <v>458</v>
      </c>
      <c r="I7" s="23" t="s">
        <v>400</v>
      </c>
      <c r="J7" s="25" t="s">
        <v>329</v>
      </c>
      <c r="K7" s="25" t="s">
        <v>459</v>
      </c>
      <c r="L7" s="25" t="s">
        <v>460</v>
      </c>
      <c r="M7" s="34" t="s">
        <v>404</v>
      </c>
      <c r="N7" s="25" t="s">
        <v>461</v>
      </c>
      <c r="O7" s="27" t="s">
        <v>462</v>
      </c>
      <c r="P7" s="27" t="s">
        <v>463</v>
      </c>
      <c r="Q7" s="23" t="s">
        <v>25</v>
      </c>
      <c r="R7" s="33" t="s">
        <v>390</v>
      </c>
      <c r="S7" s="25" t="s">
        <v>391</v>
      </c>
    </row>
    <row r="8" customFormat="false" ht="34.5" hidden="false" customHeight="true" outlineLevel="0" collapsed="false">
      <c r="A8" s="23" t="s">
        <v>464</v>
      </c>
      <c r="B8" s="37" t="s">
        <v>452</v>
      </c>
      <c r="C8" s="25" t="s">
        <v>465</v>
      </c>
      <c r="D8" s="25" t="s">
        <v>466</v>
      </c>
      <c r="E8" s="25" t="s">
        <v>467</v>
      </c>
      <c r="F8" s="23" t="s">
        <v>468</v>
      </c>
      <c r="G8" s="25" t="s">
        <v>469</v>
      </c>
      <c r="H8" s="25" t="s">
        <v>470</v>
      </c>
      <c r="I8" s="23" t="s">
        <v>471</v>
      </c>
      <c r="J8" s="25" t="s">
        <v>472</v>
      </c>
      <c r="K8" s="25" t="s">
        <v>473</v>
      </c>
      <c r="L8" s="25" t="s">
        <v>474</v>
      </c>
      <c r="M8" s="38" t="s">
        <v>475</v>
      </c>
      <c r="N8" s="25" t="s">
        <v>476</v>
      </c>
      <c r="O8" s="27" t="s">
        <v>477</v>
      </c>
      <c r="P8" s="28" t="s">
        <v>149</v>
      </c>
      <c r="Q8" s="23" t="s">
        <v>29</v>
      </c>
      <c r="R8" s="36" t="s">
        <v>449</v>
      </c>
      <c r="S8" s="25" t="s">
        <v>450</v>
      </c>
    </row>
    <row r="9" customFormat="false" ht="34.5" hidden="false" customHeight="true" outlineLevel="0" collapsed="false">
      <c r="A9" s="23" t="s">
        <v>478</v>
      </c>
      <c r="B9" s="24" t="s">
        <v>479</v>
      </c>
      <c r="C9" s="25" t="s">
        <v>480</v>
      </c>
      <c r="D9" s="25" t="s">
        <v>481</v>
      </c>
      <c r="E9" s="25" t="s">
        <v>482</v>
      </c>
      <c r="F9" s="23" t="s">
        <v>483</v>
      </c>
      <c r="G9" s="25" t="s">
        <v>484</v>
      </c>
      <c r="H9" s="25" t="s">
        <v>485</v>
      </c>
      <c r="I9" s="23" t="s">
        <v>400</v>
      </c>
      <c r="J9" s="25" t="s">
        <v>486</v>
      </c>
      <c r="K9" s="25" t="s">
        <v>487</v>
      </c>
      <c r="L9" s="25" t="s">
        <v>488</v>
      </c>
      <c r="M9" s="34" t="s">
        <v>404</v>
      </c>
      <c r="N9" s="25" t="s">
        <v>489</v>
      </c>
      <c r="O9" s="27" t="s">
        <v>490</v>
      </c>
      <c r="P9" s="28" t="s">
        <v>149</v>
      </c>
      <c r="Q9" s="23" t="s">
        <v>25</v>
      </c>
      <c r="R9" s="33" t="s">
        <v>390</v>
      </c>
      <c r="S9" s="25" t="s">
        <v>391</v>
      </c>
    </row>
    <row r="10" customFormat="false" ht="23.25" hidden="false" customHeight="true" outlineLevel="0" collapsed="false">
      <c r="A10" s="23" t="s">
        <v>491</v>
      </c>
      <c r="B10" s="24" t="s">
        <v>492</v>
      </c>
      <c r="C10" s="25" t="s">
        <v>493</v>
      </c>
      <c r="D10" s="25" t="s">
        <v>494</v>
      </c>
      <c r="E10" s="25" t="s">
        <v>495</v>
      </c>
      <c r="F10" s="23" t="s">
        <v>496</v>
      </c>
      <c r="G10" s="25" t="s">
        <v>497</v>
      </c>
      <c r="H10" s="25" t="s">
        <v>498</v>
      </c>
      <c r="I10" s="23" t="s">
        <v>400</v>
      </c>
      <c r="J10" s="25" t="s">
        <v>329</v>
      </c>
      <c r="K10" s="25" t="s">
        <v>459</v>
      </c>
      <c r="L10" s="25" t="s">
        <v>499</v>
      </c>
      <c r="M10" s="34" t="s">
        <v>404</v>
      </c>
      <c r="N10" s="25" t="s">
        <v>417</v>
      </c>
      <c r="O10" s="27" t="s">
        <v>500</v>
      </c>
      <c r="P10" s="28" t="s">
        <v>149</v>
      </c>
      <c r="Q10" s="23" t="s">
        <v>25</v>
      </c>
      <c r="R10" s="33" t="s">
        <v>390</v>
      </c>
      <c r="S10" s="25" t="s">
        <v>391</v>
      </c>
    </row>
    <row r="11" customFormat="false" ht="45.75" hidden="false" customHeight="true" outlineLevel="0" collapsed="false">
      <c r="A11" s="23" t="s">
        <v>501</v>
      </c>
      <c r="B11" s="24" t="s">
        <v>502</v>
      </c>
      <c r="C11" s="25" t="s">
        <v>503</v>
      </c>
      <c r="D11" s="25" t="s">
        <v>504</v>
      </c>
      <c r="E11" s="25" t="s">
        <v>505</v>
      </c>
      <c r="F11" s="23" t="s">
        <v>506</v>
      </c>
      <c r="G11" s="25" t="s">
        <v>507</v>
      </c>
      <c r="H11" s="25" t="s">
        <v>508</v>
      </c>
      <c r="I11" s="23" t="s">
        <v>509</v>
      </c>
      <c r="J11" s="25" t="s">
        <v>329</v>
      </c>
      <c r="K11" s="25" t="s">
        <v>510</v>
      </c>
      <c r="L11" s="25" t="s">
        <v>511</v>
      </c>
      <c r="M11" s="34" t="s">
        <v>404</v>
      </c>
      <c r="N11" s="25" t="s">
        <v>512</v>
      </c>
      <c r="O11" s="27" t="s">
        <v>513</v>
      </c>
      <c r="P11" s="28" t="s">
        <v>149</v>
      </c>
      <c r="Q11" s="23" t="s">
        <v>27</v>
      </c>
      <c r="R11" s="36" t="s">
        <v>449</v>
      </c>
      <c r="S11" s="25" t="s">
        <v>450</v>
      </c>
    </row>
    <row r="12" customFormat="false" ht="45.75" hidden="false" customHeight="true" outlineLevel="0" collapsed="false">
      <c r="A12" s="23" t="s">
        <v>514</v>
      </c>
      <c r="B12" s="39" t="s">
        <v>515</v>
      </c>
      <c r="C12" s="25" t="s">
        <v>516</v>
      </c>
      <c r="D12" s="25" t="s">
        <v>504</v>
      </c>
      <c r="E12" s="25" t="s">
        <v>517</v>
      </c>
      <c r="F12" s="23" t="s">
        <v>518</v>
      </c>
      <c r="G12" s="25" t="s">
        <v>519</v>
      </c>
      <c r="H12" s="25" t="s">
        <v>520</v>
      </c>
      <c r="I12" s="23" t="s">
        <v>521</v>
      </c>
      <c r="J12" s="25" t="s">
        <v>522</v>
      </c>
      <c r="K12" s="25" t="s">
        <v>523</v>
      </c>
      <c r="L12" s="25" t="s">
        <v>524</v>
      </c>
      <c r="M12" s="34" t="s">
        <v>404</v>
      </c>
      <c r="N12" s="25" t="s">
        <v>525</v>
      </c>
      <c r="O12" s="27" t="s">
        <v>490</v>
      </c>
      <c r="P12" s="28" t="s">
        <v>149</v>
      </c>
      <c r="Q12" s="23" t="s">
        <v>25</v>
      </c>
      <c r="R12" s="33" t="s">
        <v>390</v>
      </c>
      <c r="S12" s="25" t="s">
        <v>391</v>
      </c>
    </row>
    <row r="13" customFormat="false" ht="34.5" hidden="false" customHeight="true" outlineLevel="0" collapsed="false">
      <c r="A13" s="23" t="s">
        <v>526</v>
      </c>
      <c r="B13" s="29" t="s">
        <v>527</v>
      </c>
      <c r="C13" s="25" t="s">
        <v>528</v>
      </c>
      <c r="D13" s="25" t="s">
        <v>529</v>
      </c>
      <c r="E13" s="25" t="s">
        <v>530</v>
      </c>
      <c r="F13" s="23" t="s">
        <v>518</v>
      </c>
      <c r="G13" s="25" t="s">
        <v>531</v>
      </c>
      <c r="H13" s="25" t="s">
        <v>532</v>
      </c>
      <c r="I13" s="23" t="s">
        <v>533</v>
      </c>
      <c r="J13" s="25" t="s">
        <v>534</v>
      </c>
      <c r="K13" s="25" t="s">
        <v>535</v>
      </c>
      <c r="L13" s="25" t="s">
        <v>536</v>
      </c>
      <c r="M13" s="34" t="s">
        <v>537</v>
      </c>
      <c r="N13" s="25" t="s">
        <v>538</v>
      </c>
      <c r="O13" s="27" t="s">
        <v>539</v>
      </c>
      <c r="P13" s="28" t="s">
        <v>149</v>
      </c>
      <c r="Q13" s="23" t="s">
        <v>25</v>
      </c>
      <c r="R13" s="33" t="s">
        <v>390</v>
      </c>
      <c r="S13" s="25" t="s">
        <v>391</v>
      </c>
    </row>
    <row r="14" customFormat="false" ht="23.25" hidden="false" customHeight="true" outlineLevel="0" collapsed="false">
      <c r="A14" s="23" t="s">
        <v>540</v>
      </c>
      <c r="B14" s="29" t="s">
        <v>527</v>
      </c>
      <c r="C14" s="25" t="s">
        <v>541</v>
      </c>
      <c r="D14" s="25" t="s">
        <v>542</v>
      </c>
      <c r="E14" s="25" t="s">
        <v>543</v>
      </c>
      <c r="F14" s="23" t="s">
        <v>518</v>
      </c>
      <c r="G14" s="25" t="s">
        <v>544</v>
      </c>
      <c r="H14" s="25" t="s">
        <v>545</v>
      </c>
      <c r="I14" s="23" t="s">
        <v>546</v>
      </c>
      <c r="J14" s="25" t="s">
        <v>547</v>
      </c>
      <c r="K14" s="25" t="s">
        <v>548</v>
      </c>
      <c r="L14" s="25" t="s">
        <v>549</v>
      </c>
      <c r="M14" s="38" t="s">
        <v>475</v>
      </c>
      <c r="N14" s="25" t="s">
        <v>550</v>
      </c>
      <c r="O14" s="27" t="s">
        <v>551</v>
      </c>
      <c r="P14" s="27" t="s">
        <v>552</v>
      </c>
      <c r="Q14" s="23" t="s">
        <v>25</v>
      </c>
      <c r="R14" s="33" t="s">
        <v>553</v>
      </c>
      <c r="S14" s="25" t="s">
        <v>554</v>
      </c>
    </row>
    <row r="16" customFormat="false" ht="15" hidden="false" customHeight="true" outlineLevel="0" collapsed="false">
      <c r="A16" s="3" t="s">
        <v>555</v>
      </c>
    </row>
    <row r="17" customFormat="false" ht="15" hidden="false" customHeight="true" outlineLevel="0" collapsed="false">
      <c r="A17" s="3" t="s">
        <v>556</v>
      </c>
    </row>
    <row r="18" customFormat="false" ht="15" hidden="false" customHeight="true" outlineLevel="0" collapsed="false">
      <c r="A18" s="3" t="s">
        <v>557</v>
      </c>
    </row>
    <row r="20" customFormat="false" ht="15" hidden="false" customHeight="true" outlineLevel="0" collapsed="false">
      <c r="A20" s="20" t="s">
        <v>558</v>
      </c>
    </row>
    <row r="21" customFormat="false" ht="15" hidden="false" customHeight="true" outlineLevel="0" collapsed="false">
      <c r="B21" s="40" t="s">
        <v>386</v>
      </c>
      <c r="C21" s="41" t="n">
        <f aca="false">COUNTIF($M$2:$M$14,B21)</f>
        <v>3</v>
      </c>
    </row>
    <row r="22" customFormat="false" ht="15" hidden="false" customHeight="true" outlineLevel="0" collapsed="false">
      <c r="B22" s="42" t="s">
        <v>404</v>
      </c>
      <c r="C22" s="41" t="n">
        <f aca="false">COUNTIF($M$2:$M$14,B22)</f>
        <v>7</v>
      </c>
    </row>
    <row r="23" customFormat="false" ht="15" hidden="false" customHeight="true" outlineLevel="0" collapsed="false">
      <c r="B23" s="42" t="s">
        <v>537</v>
      </c>
      <c r="C23" s="41" t="n">
        <f aca="false">COUNTIF($M$2:$M$14,B23)</f>
        <v>1</v>
      </c>
    </row>
    <row r="24" customFormat="false" ht="15" hidden="false" customHeight="true" outlineLevel="0" collapsed="false">
      <c r="B24" s="43" t="s">
        <v>475</v>
      </c>
      <c r="C24" s="41" t="n">
        <f aca="false">COUNTIF($M$2:$M$14,B24)</f>
        <v>2</v>
      </c>
    </row>
  </sheetData>
  <autoFilter ref="A1:S14"/>
  <conditionalFormatting sqref="Q2:Q14">
    <cfRule type="expression" priority="2" aboveAverage="0" equalAverage="0" bottom="0" percent="0" rank="0" text="" dxfId="12">
      <formula>$Q2="Verified"</formula>
    </cfRule>
    <cfRule type="expression" priority="3" aboveAverage="0" equalAverage="0" bottom="0" percent="0" rank="0" text="" dxfId="13">
      <formula>$Q2="Partial"</formula>
    </cfRule>
    <cfRule type="expression" priority="4" aboveAverage="0" equalAverage="0" bottom="0" percent="0" rank="0" text="" dxfId="14">
      <formula>$Q2="Not verified"</formula>
    </cfRule>
  </conditionalFormatting>
  <hyperlinks>
    <hyperlink ref="O2" r:id="rId1" display="https://open-meteo.com/en/terms"/>
    <hyperlink ref="P2" r:id="rId2" display="https://open-meteo.com/en/pricing"/>
    <hyperlink ref="O3" r:id="rId3" display="https://developers.google.com/earth-engine/datasets/catalog/ECMWF_ERA5_LAND_DAILY_AGGR"/>
    <hyperlink ref="O4" r:id="rId4" display="https://developers.google.com/earth-engine/datasets/catalog/UCSB-CHG_CHIRPS_DAILY"/>
    <hyperlink ref="O5" r:id="rId5" display="https://power.larc.nasa.gov/"/>
    <hyperlink ref="P5" r:id="rId6" display="https://power.larc.nasa.gov/docs/services/api/"/>
    <hyperlink ref="O6" r:id="rId7" display="https://imdlib.readthedocs.io/en/latest/Usage.html"/>
    <hyperlink ref="P6" r:id="rId8" display="https://github.com/iamsaswata/imdlib"/>
    <hyperlink ref="O7" r:id="rId9" display="https://docs.isric.org/globaldata/soilgrids/access_on_gee.html"/>
    <hyperlink ref="P7" r:id="rId10" display="https://www.isric.org/explore/soilgrids"/>
    <hyperlink ref="O8" r:id="rId11" display="https://www.soilhealth.dac.gov.in/nutrient-dashboard"/>
    <hyperlink ref="O9" r:id="rId12" display="https://developers.google.com/earth-engine/guides/noncommercial_tiers"/>
    <hyperlink ref="O10" r:id="rId13" display="https://developers.google.com/earth-engine/datasets/catalog/ESA_WorldCover_v200"/>
    <hyperlink ref="O11" r:id="rId14" display="https://developers.google.com/agricultural-understanding/understanding-data"/>
    <hyperlink ref="O12" r:id="rId15" display="https://developers.google.com/earth-engine/guides/noncommercial_tiers"/>
    <hyperlink ref="O13" r:id="rId16" display="https://agritech.tnau.ac.in/crop_protection/crop_prot.html"/>
    <hyperlink ref="O14" r:id="rId17" display="https://www.tandfonline.com/doi/abs/10.1080/09670874.2016.1210839"/>
    <hyperlink ref="P14" r:id="rId18" display="https://www.researchgate.net/publication/306045270_INDO-BLIGHTCAST_-_a_model_for_forecasting_late_blight_across_agroecologi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70"/>
    <col collapsed="false" customWidth="true" hidden="false" outlineLevel="0" max="4" min="4" style="1" width="55"/>
    <col collapsed="false" customWidth="true" hidden="false" outlineLevel="0" max="5" min="5" style="1" width="16"/>
    <col collapsed="false" customWidth="true" hidden="false" outlineLevel="0" max="6" min="6" style="1" width="36"/>
  </cols>
  <sheetData>
    <row r="1" customFormat="false" ht="31.5" hidden="false" customHeight="true" outlineLevel="0" collapsed="false">
      <c r="A1" s="12" t="s">
        <v>559</v>
      </c>
      <c r="B1" s="12" t="s">
        <v>560</v>
      </c>
      <c r="C1" s="12" t="s">
        <v>561</v>
      </c>
      <c r="D1" s="12" t="s">
        <v>562</v>
      </c>
      <c r="E1" s="12" t="s">
        <v>563</v>
      </c>
      <c r="F1" s="12" t="s">
        <v>564</v>
      </c>
    </row>
    <row r="2" customFormat="false" ht="23.25" hidden="false" customHeight="true" outlineLevel="0" collapsed="false">
      <c r="A2" s="23" t="n">
        <v>1</v>
      </c>
      <c r="B2" s="29" t="s">
        <v>565</v>
      </c>
      <c r="C2" s="25" t="s">
        <v>566</v>
      </c>
      <c r="D2" s="27" t="s">
        <v>490</v>
      </c>
      <c r="E2" s="25" t="s">
        <v>567</v>
      </c>
      <c r="F2" s="25" t="s">
        <v>568</v>
      </c>
    </row>
    <row r="3" customFormat="false" ht="23.25" hidden="false" customHeight="true" outlineLevel="0" collapsed="false">
      <c r="A3" s="23" t="n">
        <v>2</v>
      </c>
      <c r="B3" s="29" t="s">
        <v>565</v>
      </c>
      <c r="C3" s="25" t="s">
        <v>569</v>
      </c>
      <c r="D3" s="27" t="s">
        <v>490</v>
      </c>
      <c r="E3" s="25" t="s">
        <v>570</v>
      </c>
      <c r="F3" s="25" t="s">
        <v>571</v>
      </c>
    </row>
    <row r="4" customFormat="false" ht="23.25" hidden="false" customHeight="true" outlineLevel="0" collapsed="false">
      <c r="A4" s="23" t="n">
        <v>3</v>
      </c>
      <c r="B4" s="24" t="s">
        <v>572</v>
      </c>
      <c r="C4" s="25" t="s">
        <v>573</v>
      </c>
      <c r="D4" s="28" t="s">
        <v>149</v>
      </c>
      <c r="E4" s="25" t="s">
        <v>574</v>
      </c>
      <c r="F4" s="25" t="s">
        <v>575</v>
      </c>
    </row>
    <row r="5" customFormat="false" ht="23.25" hidden="false" customHeight="true" outlineLevel="0" collapsed="false">
      <c r="A5" s="23" t="n">
        <v>4</v>
      </c>
      <c r="B5" s="29" t="s">
        <v>565</v>
      </c>
      <c r="C5" s="25" t="s">
        <v>576</v>
      </c>
      <c r="D5" s="27" t="s">
        <v>490</v>
      </c>
      <c r="E5" s="25" t="s">
        <v>577</v>
      </c>
      <c r="F5" s="25" t="s">
        <v>571</v>
      </c>
    </row>
    <row r="6" customFormat="false" ht="15" hidden="false" customHeight="true" outlineLevel="0" collapsed="false">
      <c r="A6" s="23" t="n">
        <v>5</v>
      </c>
      <c r="B6" s="39" t="s">
        <v>578</v>
      </c>
      <c r="C6" s="25" t="s">
        <v>579</v>
      </c>
      <c r="D6" s="27" t="s">
        <v>388</v>
      </c>
      <c r="E6" s="25" t="s">
        <v>580</v>
      </c>
      <c r="F6" s="25" t="s">
        <v>377</v>
      </c>
    </row>
    <row r="7" customFormat="false" ht="15" hidden="false" customHeight="true" outlineLevel="0" collapsed="false">
      <c r="A7" s="23" t="n">
        <v>6</v>
      </c>
      <c r="B7" s="29" t="s">
        <v>565</v>
      </c>
      <c r="C7" s="25" t="s">
        <v>581</v>
      </c>
      <c r="D7" s="27" t="s">
        <v>447</v>
      </c>
      <c r="E7" s="25" t="s">
        <v>582</v>
      </c>
      <c r="F7" s="25" t="s">
        <v>583</v>
      </c>
    </row>
    <row r="8" customFormat="false" ht="23.25" hidden="false" customHeight="true" outlineLevel="0" collapsed="false">
      <c r="A8" s="23" t="n">
        <v>7</v>
      </c>
      <c r="B8" s="29" t="s">
        <v>565</v>
      </c>
      <c r="C8" s="25" t="s">
        <v>584</v>
      </c>
      <c r="D8" s="27" t="s">
        <v>513</v>
      </c>
      <c r="E8" s="25" t="s">
        <v>570</v>
      </c>
      <c r="F8" s="25" t="s">
        <v>585</v>
      </c>
    </row>
    <row r="9" customFormat="false" ht="23.25" hidden="false" customHeight="true" outlineLevel="0" collapsed="false">
      <c r="A9" s="23" t="n">
        <v>8</v>
      </c>
      <c r="B9" s="29" t="s">
        <v>565</v>
      </c>
      <c r="C9" s="25" t="s">
        <v>586</v>
      </c>
      <c r="D9" s="27" t="s">
        <v>552</v>
      </c>
      <c r="E9" s="25" t="s">
        <v>587</v>
      </c>
      <c r="F9" s="25" t="s">
        <v>588</v>
      </c>
    </row>
    <row r="10" customFormat="false" ht="23.25" hidden="false" customHeight="true" outlineLevel="0" collapsed="false">
      <c r="A10" s="23" t="n">
        <v>9</v>
      </c>
      <c r="B10" s="37" t="s">
        <v>589</v>
      </c>
      <c r="C10" s="25" t="s">
        <v>590</v>
      </c>
      <c r="D10" s="27" t="s">
        <v>539</v>
      </c>
      <c r="E10" s="25" t="s">
        <v>591</v>
      </c>
      <c r="F10" s="25" t="s">
        <v>592</v>
      </c>
    </row>
    <row r="11" customFormat="false" ht="15" hidden="false" customHeight="true" outlineLevel="0" collapsed="false">
      <c r="A11" s="23" t="n">
        <v>10</v>
      </c>
      <c r="B11" s="29" t="s">
        <v>565</v>
      </c>
      <c r="C11" s="25" t="s">
        <v>593</v>
      </c>
      <c r="D11" s="27" t="s">
        <v>477</v>
      </c>
      <c r="E11" s="25" t="s">
        <v>594</v>
      </c>
      <c r="F11" s="25" t="s">
        <v>595</v>
      </c>
    </row>
    <row r="13" customFormat="false" ht="15" hidden="false" customHeight="true" outlineLevel="0" collapsed="false">
      <c r="A13" s="3" t="s">
        <v>596</v>
      </c>
    </row>
  </sheetData>
  <hyperlinks>
    <hyperlink ref="D2" r:id="rId1" display="https://developers.google.com/earth-engine/guides/noncommercial_tiers"/>
    <hyperlink ref="D3" r:id="rId2" display="https://developers.google.com/earth-engine/guides/noncommercial_tiers"/>
    <hyperlink ref="D5" r:id="rId3" display="https://developers.google.com/earth-engine/guides/noncommercial_tiers"/>
    <hyperlink ref="D6" r:id="rId4" display="https://open-meteo.com/en/terms"/>
    <hyperlink ref="D7" r:id="rId5" display="https://imdlib.readthedocs.io/en/latest/Usage.html"/>
    <hyperlink ref="D8" r:id="rId6" display="https://developers.google.com/agricultural-understanding/understanding-data"/>
    <hyperlink ref="D9" r:id="rId7" display="https://www.researchgate.net/publication/306045270_INDO-BLIGHTCAST_-_a_model_for_forecasting_late_blight_across_agroecologies"/>
    <hyperlink ref="D10" r:id="rId8" display="https://agritech.tnau.ac.in/crop_protection/crop_prot.html"/>
    <hyperlink ref="D11" r:id="rId9" display="https://www.soilhealth.dac.gov.in/nutrient-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4" min="3" style="1" width="58"/>
    <col collapsed="false" customWidth="true" hidden="false" outlineLevel="0" max="5" min="5" style="1" width="44"/>
    <col collapsed="false" customWidth="true" hidden="false" outlineLevel="0" max="6" min="6" style="1" width="40"/>
  </cols>
  <sheetData>
    <row r="1" customFormat="false" ht="15" hidden="false" customHeight="true" outlineLevel="0" collapsed="false">
      <c r="A1" s="12" t="s">
        <v>597</v>
      </c>
      <c r="B1" s="12" t="s">
        <v>48</v>
      </c>
      <c r="C1" s="12" t="s">
        <v>598</v>
      </c>
      <c r="D1" s="12" t="s">
        <v>562</v>
      </c>
      <c r="E1" s="12" t="s">
        <v>599</v>
      </c>
      <c r="F1" s="12" t="s">
        <v>600</v>
      </c>
    </row>
    <row r="2" customFormat="false" ht="23.25" hidden="false" customHeight="true" outlineLevel="0" collapsed="false">
      <c r="A2" s="23" t="n">
        <v>1</v>
      </c>
      <c r="B2" s="25" t="s">
        <v>53</v>
      </c>
      <c r="C2" s="25" t="s">
        <v>601</v>
      </c>
      <c r="D2" s="27" t="s">
        <v>602</v>
      </c>
      <c r="E2" s="25" t="s">
        <v>603</v>
      </c>
      <c r="F2" s="25" t="s">
        <v>604</v>
      </c>
    </row>
    <row r="3" customFormat="false" ht="15" hidden="false" customHeight="true" outlineLevel="0" collapsed="false">
      <c r="A3" s="23" t="n">
        <v>2</v>
      </c>
      <c r="B3" s="25" t="s">
        <v>53</v>
      </c>
      <c r="C3" s="25" t="s">
        <v>605</v>
      </c>
      <c r="D3" s="27" t="s">
        <v>606</v>
      </c>
      <c r="E3" s="25" t="s">
        <v>607</v>
      </c>
      <c r="F3" s="25" t="s">
        <v>604</v>
      </c>
    </row>
    <row r="4" customFormat="false" ht="15" hidden="false" customHeight="true" outlineLevel="0" collapsed="false">
      <c r="A4" s="23" t="n">
        <v>3</v>
      </c>
      <c r="B4" s="25" t="s">
        <v>608</v>
      </c>
      <c r="C4" s="25" t="s">
        <v>609</v>
      </c>
      <c r="D4" s="27" t="s">
        <v>610</v>
      </c>
      <c r="E4" s="25" t="s">
        <v>611</v>
      </c>
      <c r="F4" s="25" t="s">
        <v>612</v>
      </c>
    </row>
    <row r="5" customFormat="false" ht="23.25" hidden="false" customHeight="true" outlineLevel="0" collapsed="false">
      <c r="A5" s="23" t="n">
        <v>4</v>
      </c>
      <c r="B5" s="25" t="s">
        <v>75</v>
      </c>
      <c r="C5" s="25" t="s">
        <v>613</v>
      </c>
      <c r="D5" s="27" t="s">
        <v>614</v>
      </c>
      <c r="E5" s="25" t="s">
        <v>615</v>
      </c>
      <c r="F5" s="25" t="s">
        <v>616</v>
      </c>
    </row>
    <row r="6" customFormat="false" ht="15" hidden="false" customHeight="true" outlineLevel="0" collapsed="false">
      <c r="A6" s="23" t="n">
        <v>5</v>
      </c>
      <c r="B6" s="25" t="s">
        <v>75</v>
      </c>
      <c r="C6" s="25" t="s">
        <v>617</v>
      </c>
      <c r="D6" s="27" t="s">
        <v>618</v>
      </c>
      <c r="E6" s="25" t="s">
        <v>179</v>
      </c>
      <c r="F6" s="25" t="s">
        <v>616</v>
      </c>
    </row>
    <row r="7" customFormat="false" ht="15" hidden="false" customHeight="true" outlineLevel="0" collapsed="false">
      <c r="A7" s="23" t="n">
        <v>6</v>
      </c>
      <c r="B7" s="25" t="s">
        <v>75</v>
      </c>
      <c r="C7" s="25" t="s">
        <v>619</v>
      </c>
      <c r="D7" s="27" t="s">
        <v>620</v>
      </c>
      <c r="E7" s="25" t="s">
        <v>179</v>
      </c>
      <c r="F7" s="25" t="s">
        <v>616</v>
      </c>
    </row>
    <row r="8" customFormat="false" ht="15" hidden="false" customHeight="true" outlineLevel="0" collapsed="false">
      <c r="A8" s="23" t="n">
        <v>7</v>
      </c>
      <c r="B8" s="25" t="s">
        <v>621</v>
      </c>
      <c r="C8" s="25" t="s">
        <v>622</v>
      </c>
      <c r="D8" s="27" t="s">
        <v>623</v>
      </c>
      <c r="E8" s="25" t="s">
        <v>624</v>
      </c>
      <c r="F8" s="25" t="s">
        <v>625</v>
      </c>
    </row>
    <row r="9" customFormat="false" ht="15" hidden="false" customHeight="true" outlineLevel="0" collapsed="false">
      <c r="A9" s="23" t="n">
        <v>8</v>
      </c>
      <c r="B9" s="25" t="s">
        <v>621</v>
      </c>
      <c r="C9" s="25" t="s">
        <v>626</v>
      </c>
      <c r="D9" s="27" t="s">
        <v>627</v>
      </c>
      <c r="E9" s="25" t="s">
        <v>179</v>
      </c>
      <c r="F9" s="25" t="s">
        <v>616</v>
      </c>
    </row>
    <row r="10" customFormat="false" ht="15" hidden="false" customHeight="true" outlineLevel="0" collapsed="false">
      <c r="A10" s="23" t="n">
        <v>9</v>
      </c>
      <c r="B10" s="25" t="s">
        <v>621</v>
      </c>
      <c r="C10" s="25" t="s">
        <v>628</v>
      </c>
      <c r="D10" s="27" t="s">
        <v>629</v>
      </c>
      <c r="E10" s="25" t="s">
        <v>630</v>
      </c>
      <c r="F10" s="25" t="s">
        <v>631</v>
      </c>
    </row>
    <row r="11" customFormat="false" ht="15" hidden="false" customHeight="true" outlineLevel="0" collapsed="false">
      <c r="A11" s="23" t="n">
        <v>10</v>
      </c>
      <c r="B11" s="25" t="s">
        <v>68</v>
      </c>
      <c r="C11" s="25" t="s">
        <v>632</v>
      </c>
      <c r="D11" s="27" t="s">
        <v>633</v>
      </c>
      <c r="E11" s="25" t="s">
        <v>634</v>
      </c>
      <c r="F11" s="25" t="s">
        <v>635</v>
      </c>
    </row>
    <row r="12" customFormat="false" ht="15" hidden="false" customHeight="true" outlineLevel="0" collapsed="false">
      <c r="A12" s="23" t="n">
        <v>11</v>
      </c>
      <c r="B12" s="25" t="s">
        <v>68</v>
      </c>
      <c r="C12" s="25" t="s">
        <v>636</v>
      </c>
      <c r="D12" s="27" t="s">
        <v>637</v>
      </c>
      <c r="E12" s="25" t="s">
        <v>179</v>
      </c>
      <c r="F12" s="25" t="s">
        <v>616</v>
      </c>
    </row>
    <row r="13" customFormat="false" ht="15" hidden="false" customHeight="true" outlineLevel="0" collapsed="false">
      <c r="A13" s="23" t="n">
        <v>12</v>
      </c>
      <c r="B13" s="25" t="s">
        <v>65</v>
      </c>
      <c r="C13" s="25" t="s">
        <v>638</v>
      </c>
      <c r="D13" s="27" t="s">
        <v>639</v>
      </c>
      <c r="E13" s="25" t="s">
        <v>634</v>
      </c>
      <c r="F13" s="25" t="s">
        <v>640</v>
      </c>
    </row>
    <row r="14" customFormat="false" ht="15" hidden="false" customHeight="true" outlineLevel="0" collapsed="false">
      <c r="A14" s="23" t="n">
        <v>13</v>
      </c>
      <c r="B14" s="25" t="s">
        <v>65</v>
      </c>
      <c r="C14" s="25" t="s">
        <v>641</v>
      </c>
      <c r="D14" s="27" t="s">
        <v>642</v>
      </c>
      <c r="E14" s="25" t="s">
        <v>179</v>
      </c>
      <c r="F14" s="25" t="s">
        <v>616</v>
      </c>
    </row>
    <row r="15" customFormat="false" ht="15" hidden="false" customHeight="true" outlineLevel="0" collapsed="false">
      <c r="A15" s="23" t="n">
        <v>14</v>
      </c>
      <c r="B15" s="25" t="s">
        <v>79</v>
      </c>
      <c r="C15" s="25" t="s">
        <v>643</v>
      </c>
      <c r="D15" s="27" t="s">
        <v>644</v>
      </c>
      <c r="E15" s="25" t="s">
        <v>179</v>
      </c>
      <c r="F15" s="25" t="s">
        <v>616</v>
      </c>
    </row>
    <row r="16" customFormat="false" ht="15" hidden="false" customHeight="true" outlineLevel="0" collapsed="false">
      <c r="A16" s="23" t="n">
        <v>15</v>
      </c>
      <c r="B16" s="25" t="s">
        <v>81</v>
      </c>
      <c r="C16" s="25" t="s">
        <v>645</v>
      </c>
      <c r="D16" s="27" t="s">
        <v>646</v>
      </c>
      <c r="E16" s="25" t="s">
        <v>624</v>
      </c>
      <c r="F16" s="25" t="s">
        <v>647</v>
      </c>
    </row>
    <row r="17" customFormat="false" ht="15" hidden="false" customHeight="true" outlineLevel="0" collapsed="false">
      <c r="A17" s="23" t="n">
        <v>16</v>
      </c>
      <c r="B17" s="25" t="s">
        <v>648</v>
      </c>
      <c r="C17" s="25" t="s">
        <v>649</v>
      </c>
      <c r="D17" s="27" t="s">
        <v>650</v>
      </c>
      <c r="E17" s="25" t="s">
        <v>179</v>
      </c>
      <c r="F17" s="25" t="s">
        <v>616</v>
      </c>
    </row>
    <row r="18" customFormat="false" ht="15" hidden="false" customHeight="true" outlineLevel="0" collapsed="false">
      <c r="A18" s="23" t="n">
        <v>17</v>
      </c>
      <c r="B18" s="25" t="s">
        <v>57</v>
      </c>
      <c r="C18" s="25" t="s">
        <v>651</v>
      </c>
      <c r="D18" s="27" t="s">
        <v>652</v>
      </c>
      <c r="E18" s="25" t="s">
        <v>653</v>
      </c>
      <c r="F18" s="25" t="s">
        <v>654</v>
      </c>
    </row>
    <row r="19" customFormat="false" ht="15" hidden="false" customHeight="true" outlineLevel="0" collapsed="false">
      <c r="A19" s="23" t="n">
        <v>18</v>
      </c>
      <c r="B19" s="25" t="s">
        <v>655</v>
      </c>
      <c r="C19" s="25" t="s">
        <v>656</v>
      </c>
      <c r="D19" s="27" t="s">
        <v>657</v>
      </c>
      <c r="E19" s="25" t="s">
        <v>179</v>
      </c>
      <c r="F19" s="25" t="s">
        <v>616</v>
      </c>
    </row>
    <row r="20" customFormat="false" ht="15" hidden="false" customHeight="true" outlineLevel="0" collapsed="false">
      <c r="A20" s="23" t="n">
        <v>19</v>
      </c>
      <c r="B20" s="25" t="s">
        <v>655</v>
      </c>
      <c r="C20" s="25" t="s">
        <v>658</v>
      </c>
      <c r="D20" s="27" t="s">
        <v>659</v>
      </c>
      <c r="E20" s="25" t="s">
        <v>179</v>
      </c>
      <c r="F20" s="25" t="s">
        <v>616</v>
      </c>
    </row>
    <row r="21" customFormat="false" ht="15" hidden="false" customHeight="true" outlineLevel="0" collapsed="false">
      <c r="A21" s="23" t="n">
        <v>20</v>
      </c>
      <c r="B21" s="25" t="s">
        <v>660</v>
      </c>
      <c r="C21" s="25" t="s">
        <v>661</v>
      </c>
      <c r="D21" s="27" t="s">
        <v>662</v>
      </c>
      <c r="E21" s="25" t="s">
        <v>663</v>
      </c>
      <c r="F21" s="25" t="s">
        <v>664</v>
      </c>
    </row>
    <row r="22" customFormat="false" ht="23.25" hidden="false" customHeight="true" outlineLevel="0" collapsed="false">
      <c r="A22" s="23" t="n">
        <v>21</v>
      </c>
      <c r="B22" s="25" t="s">
        <v>71</v>
      </c>
      <c r="C22" s="25" t="s">
        <v>665</v>
      </c>
      <c r="D22" s="27" t="s">
        <v>666</v>
      </c>
      <c r="E22" s="25" t="s">
        <v>667</v>
      </c>
      <c r="F22" s="25" t="s">
        <v>668</v>
      </c>
    </row>
    <row r="23" customFormat="false" ht="15" hidden="false" customHeight="true" outlineLevel="0" collapsed="false">
      <c r="A23" s="23" t="n">
        <v>22</v>
      </c>
      <c r="B23" s="25" t="s">
        <v>73</v>
      </c>
      <c r="C23" s="25" t="s">
        <v>669</v>
      </c>
      <c r="D23" s="27" t="s">
        <v>670</v>
      </c>
      <c r="E23" s="25" t="s">
        <v>179</v>
      </c>
      <c r="F23" s="25" t="s">
        <v>671</v>
      </c>
    </row>
    <row r="24" customFormat="false" ht="15" hidden="false" customHeight="true" outlineLevel="0" collapsed="false">
      <c r="A24" s="23" t="n">
        <v>23</v>
      </c>
      <c r="B24" s="25" t="s">
        <v>672</v>
      </c>
      <c r="C24" s="25" t="s">
        <v>673</v>
      </c>
      <c r="D24" s="27" t="s">
        <v>674</v>
      </c>
      <c r="E24" s="25" t="s">
        <v>179</v>
      </c>
      <c r="F24" s="25" t="s">
        <v>616</v>
      </c>
    </row>
    <row r="25" customFormat="false" ht="15" hidden="false" customHeight="true" outlineLevel="0" collapsed="false">
      <c r="A25" s="23" t="n">
        <v>24</v>
      </c>
      <c r="B25" s="25" t="s">
        <v>675</v>
      </c>
      <c r="C25" s="25" t="s">
        <v>676</v>
      </c>
      <c r="D25" s="27" t="s">
        <v>677</v>
      </c>
      <c r="E25" s="25" t="s">
        <v>634</v>
      </c>
      <c r="F25" s="25" t="s">
        <v>678</v>
      </c>
    </row>
    <row r="26" customFormat="false" ht="15" hidden="false" customHeight="true" outlineLevel="0" collapsed="false">
      <c r="A26" s="23" t="n">
        <v>25</v>
      </c>
      <c r="B26" s="25" t="s">
        <v>679</v>
      </c>
      <c r="C26" s="25" t="s">
        <v>680</v>
      </c>
      <c r="D26" s="27" t="s">
        <v>681</v>
      </c>
      <c r="E26" s="25" t="s">
        <v>630</v>
      </c>
      <c r="F26" s="25" t="s">
        <v>631</v>
      </c>
    </row>
    <row r="27" customFormat="false" ht="15" hidden="false" customHeight="true" outlineLevel="0" collapsed="false">
      <c r="A27" s="23" t="n">
        <v>26</v>
      </c>
      <c r="B27" s="25" t="s">
        <v>77</v>
      </c>
      <c r="C27" s="25" t="s">
        <v>682</v>
      </c>
      <c r="D27" s="27" t="s">
        <v>683</v>
      </c>
      <c r="E27" s="25" t="s">
        <v>684</v>
      </c>
      <c r="F27" s="25" t="s">
        <v>685</v>
      </c>
    </row>
    <row r="28" customFormat="false" ht="15" hidden="false" customHeight="true" outlineLevel="0" collapsed="false">
      <c r="A28" s="23" t="n">
        <v>27</v>
      </c>
      <c r="B28" s="25" t="s">
        <v>686</v>
      </c>
      <c r="C28" s="25" t="s">
        <v>687</v>
      </c>
      <c r="D28" s="27" t="s">
        <v>688</v>
      </c>
      <c r="E28" s="25" t="s">
        <v>624</v>
      </c>
      <c r="F28" s="25" t="s">
        <v>689</v>
      </c>
    </row>
    <row r="29" customFormat="false" ht="15" hidden="false" customHeight="true" outlineLevel="0" collapsed="false">
      <c r="A29" s="23" t="n">
        <v>28</v>
      </c>
      <c r="B29" s="25" t="s">
        <v>63</v>
      </c>
      <c r="C29" s="25" t="s">
        <v>690</v>
      </c>
      <c r="D29" s="27" t="s">
        <v>691</v>
      </c>
      <c r="E29" s="25" t="s">
        <v>630</v>
      </c>
      <c r="F29" s="25" t="s">
        <v>692</v>
      </c>
    </row>
    <row r="30" customFormat="false" ht="15" hidden="false" customHeight="true" outlineLevel="0" collapsed="false">
      <c r="A30" s="23" t="n">
        <v>29</v>
      </c>
      <c r="B30" s="25" t="s">
        <v>693</v>
      </c>
      <c r="C30" s="25" t="s">
        <v>694</v>
      </c>
      <c r="D30" s="27" t="s">
        <v>695</v>
      </c>
      <c r="E30" s="25" t="s">
        <v>696</v>
      </c>
      <c r="F30" s="25" t="s">
        <v>697</v>
      </c>
    </row>
  </sheetData>
  <autoFilter ref="A1:F30"/>
  <hyperlinks>
    <hyperlink ref="D2" r:id="rId1" display="https://data.mendeley.com/datasets/wzc6r6w5w5/2"/>
    <hyperlink ref="D3" r:id="rId2" display="https://data.mendeley.com/datasets/w9mr3vf56s/1"/>
    <hyperlink ref="D4" r:id="rId3" display="https://data.mendeley.com/datasets/m4m6j2tjfj/2"/>
    <hyperlink ref="D5" r:id="rId4" display="https://data.mendeley.com/datasets/rnbsw72zb5/1"/>
    <hyperlink ref="D6" r:id="rId5" display="https://data.mendeley.com/datasets/kt64b2kh89/1"/>
    <hyperlink ref="D7" r:id="rId6" display="https://data.mendeley.com/datasets/rv3kxfv47y/1"/>
    <hyperlink ref="D8" r:id="rId7" display="https://data.mendeley.com/datasets/6k94t3fydy/1"/>
    <hyperlink ref="D9" r:id="rId8" display="https://data.mendeley.com/datasets/mn8vfr9bw2/2"/>
    <hyperlink ref="D10" r:id="rId9" display="https://pmc.ncbi.nlm.nih.gov/articles/PMC11870215/"/>
    <hyperlink ref="D11" r:id="rId10" display="https://data.mendeley.com/datasets/t5sssfgn2v/3"/>
    <hyperlink ref="D12" r:id="rId11" display="https://data.mendeley.com/datasets/x995snz7p3/1"/>
    <hyperlink ref="D13" r:id="rId12" display="https://data.mendeley.com/datasets/9tb7k297ff/1"/>
    <hyperlink ref="D14" r:id="rId13" display="https://data.mendeley.com/datasets/428ysdybvd/1"/>
    <hyperlink ref="D15" r:id="rId14" display="https://data.mendeley.com/datasets/sd8hzpg69b/3"/>
    <hyperlink ref="D16" r:id="rId15" display="https://data.mendeley.com/datasets/g46dvrcvwn/2"/>
    <hyperlink ref="D17" r:id="rId16" display="https://data.mendeley.com/datasets/vpzkntzjty/1"/>
    <hyperlink ref="D18" r:id="rId17" display="https://data.mendeley.com/datasets/jm378tjnrt/1"/>
    <hyperlink ref="D19" r:id="rId18" display="https://data.mendeley.com/datasets/rp2csdzxgr/1"/>
    <hyperlink ref="D20" r:id="rId19" display="https://data.mendeley.com/datasets/fspx44mwfp/1"/>
    <hyperlink ref="D21" r:id="rId20" display="https://pmc.ncbi.nlm.nih.gov/articles/PMC11220843/"/>
    <hyperlink ref="D22" r:id="rId21" display="https://data.mendeley.com/datasets/45djgf3p96/1"/>
    <hyperlink ref="D23" r:id="rId22" display="https://www.kaggle.com/datasets/manojgadde/yellow-vein-mosaic-disease"/>
    <hyperlink ref="D24" r:id="rId23" display="https://data.mendeley.com/datasets/m9nmyp7r6h/1"/>
    <hyperlink ref="D25" r:id="rId24" display="https://data.mendeley.com/datasets/b83hmrzth8/1"/>
    <hyperlink ref="D26" r:id="rId25" display="https://pmc.ncbi.nlm.nih.gov/articles/PMC11846420/"/>
    <hyperlink ref="D27" r:id="rId26" display="https://data.mendeley.com/datasets/6b2wxbs9cv/2"/>
    <hyperlink ref="D28" r:id="rId27" display="https://onlinelibrary.wiley.com/doi/10.1111/jph.70051"/>
    <hyperlink ref="D29" r:id="rId28" display="https://pmc.ncbi.nlm.nih.gov/articles/PMC12210286/"/>
    <hyperlink ref="D30" r:id="rId29" display="https://aikosh.indiaai.gov.in/home/datasets/details/cropic_dataset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0"/>
    <col collapsed="false" customWidth="true" hidden="false" outlineLevel="0" max="3" min="3" style="1" width="22"/>
    <col collapsed="false" customWidth="true" hidden="false" outlineLevel="0" max="4" min="4" style="1" width="50"/>
    <col collapsed="false" customWidth="true" hidden="false" outlineLevel="0" max="5" min="5" style="1" width="24"/>
  </cols>
  <sheetData>
    <row r="1" customFormat="false" ht="15" hidden="false" customHeight="true" outlineLevel="0" collapsed="false">
      <c r="A1" s="12" t="s">
        <v>597</v>
      </c>
      <c r="B1" s="12" t="s">
        <v>698</v>
      </c>
      <c r="C1" s="12" t="s">
        <v>699</v>
      </c>
      <c r="D1" s="12" t="s">
        <v>700</v>
      </c>
      <c r="E1" s="12" t="s">
        <v>701</v>
      </c>
    </row>
    <row r="2" customFormat="false" ht="15" hidden="false" customHeight="true" outlineLevel="0" collapsed="false">
      <c r="A2" s="23" t="n">
        <v>1</v>
      </c>
      <c r="B2" s="27" t="s">
        <v>109</v>
      </c>
      <c r="C2" s="25" t="s">
        <v>702</v>
      </c>
      <c r="D2" s="25" t="s">
        <v>703</v>
      </c>
      <c r="E2" s="25" t="s">
        <v>704</v>
      </c>
    </row>
    <row r="3" customFormat="false" ht="23.25" hidden="false" customHeight="true" outlineLevel="0" collapsed="false">
      <c r="A3" s="23" t="n">
        <v>2</v>
      </c>
      <c r="B3" s="27" t="s">
        <v>110</v>
      </c>
      <c r="C3" s="25" t="s">
        <v>705</v>
      </c>
      <c r="D3" s="25" t="s">
        <v>706</v>
      </c>
      <c r="E3" s="25" t="s">
        <v>707</v>
      </c>
    </row>
    <row r="4" customFormat="false" ht="15" hidden="false" customHeight="true" outlineLevel="0" collapsed="false">
      <c r="A4" s="23" t="n">
        <v>3</v>
      </c>
      <c r="B4" s="27" t="s">
        <v>115</v>
      </c>
      <c r="C4" s="25" t="s">
        <v>702</v>
      </c>
      <c r="D4" s="25" t="s">
        <v>708</v>
      </c>
      <c r="E4" s="25" t="s">
        <v>704</v>
      </c>
    </row>
    <row r="5" customFormat="false" ht="15" hidden="false" customHeight="true" outlineLevel="0" collapsed="false">
      <c r="A5" s="23" t="n">
        <v>4</v>
      </c>
      <c r="B5" s="27" t="s">
        <v>123</v>
      </c>
      <c r="C5" s="25" t="s">
        <v>702</v>
      </c>
      <c r="D5" s="25" t="s">
        <v>709</v>
      </c>
      <c r="E5" s="25" t="s">
        <v>704</v>
      </c>
    </row>
    <row r="6" customFormat="false" ht="15" hidden="false" customHeight="true" outlineLevel="0" collapsed="false">
      <c r="A6" s="23" t="n">
        <v>5</v>
      </c>
      <c r="B6" s="27" t="s">
        <v>124</v>
      </c>
      <c r="C6" s="25" t="s">
        <v>705</v>
      </c>
      <c r="D6" s="25" t="s">
        <v>709</v>
      </c>
      <c r="E6" s="25" t="s">
        <v>710</v>
      </c>
    </row>
    <row r="7" customFormat="false" ht="15" hidden="false" customHeight="true" outlineLevel="0" collapsed="false">
      <c r="A7" s="23" t="n">
        <v>6</v>
      </c>
      <c r="B7" s="27" t="s">
        <v>132</v>
      </c>
      <c r="C7" s="25" t="s">
        <v>702</v>
      </c>
      <c r="D7" s="25" t="s">
        <v>711</v>
      </c>
      <c r="E7" s="25" t="s">
        <v>704</v>
      </c>
    </row>
    <row r="8" customFormat="false" ht="15" hidden="false" customHeight="true" outlineLevel="0" collapsed="false">
      <c r="A8" s="23" t="n">
        <v>7</v>
      </c>
      <c r="B8" s="27" t="s">
        <v>133</v>
      </c>
      <c r="C8" s="25" t="s">
        <v>705</v>
      </c>
      <c r="D8" s="25" t="s">
        <v>711</v>
      </c>
      <c r="E8" s="25" t="s">
        <v>710</v>
      </c>
    </row>
    <row r="9" customFormat="false" ht="15" hidden="false" customHeight="true" outlineLevel="0" collapsed="false">
      <c r="A9" s="23" t="n">
        <v>8</v>
      </c>
      <c r="B9" s="27" t="s">
        <v>140</v>
      </c>
      <c r="C9" s="25" t="s">
        <v>702</v>
      </c>
      <c r="D9" s="25" t="s">
        <v>712</v>
      </c>
      <c r="E9" s="25" t="s">
        <v>704</v>
      </c>
    </row>
    <row r="10" customFormat="false" ht="15" hidden="false" customHeight="true" outlineLevel="0" collapsed="false">
      <c r="A10" s="23" t="n">
        <v>9</v>
      </c>
      <c r="B10" s="27" t="s">
        <v>141</v>
      </c>
      <c r="C10" s="25" t="s">
        <v>705</v>
      </c>
      <c r="D10" s="25" t="s">
        <v>712</v>
      </c>
      <c r="E10" s="25" t="s">
        <v>707</v>
      </c>
    </row>
    <row r="11" customFormat="false" ht="23.25" hidden="false" customHeight="true" outlineLevel="0" collapsed="false">
      <c r="A11" s="23" t="n">
        <v>10</v>
      </c>
      <c r="B11" s="27" t="s">
        <v>148</v>
      </c>
      <c r="C11" s="25" t="s">
        <v>702</v>
      </c>
      <c r="D11" s="25" t="s">
        <v>713</v>
      </c>
      <c r="E11" s="25" t="s">
        <v>704</v>
      </c>
    </row>
    <row r="12" customFormat="false" ht="15" hidden="false" customHeight="true" outlineLevel="0" collapsed="false">
      <c r="A12" s="23" t="n">
        <v>11</v>
      </c>
      <c r="B12" s="27" t="s">
        <v>156</v>
      </c>
      <c r="C12" s="25" t="s">
        <v>702</v>
      </c>
      <c r="D12" s="25" t="s">
        <v>714</v>
      </c>
      <c r="E12" s="25" t="s">
        <v>704</v>
      </c>
    </row>
    <row r="13" customFormat="false" ht="15" hidden="false" customHeight="true" outlineLevel="0" collapsed="false">
      <c r="A13" s="23" t="n">
        <v>12</v>
      </c>
      <c r="B13" s="27" t="s">
        <v>163</v>
      </c>
      <c r="C13" s="25" t="s">
        <v>702</v>
      </c>
      <c r="D13" s="25" t="s">
        <v>715</v>
      </c>
      <c r="E13" s="25" t="s">
        <v>704</v>
      </c>
    </row>
    <row r="14" customFormat="false" ht="15" hidden="false" customHeight="true" outlineLevel="0" collapsed="false">
      <c r="A14" s="23" t="n">
        <v>13</v>
      </c>
      <c r="B14" s="27" t="s">
        <v>171</v>
      </c>
      <c r="C14" s="25" t="s">
        <v>702</v>
      </c>
      <c r="D14" s="25" t="s">
        <v>716</v>
      </c>
      <c r="E14" s="25" t="s">
        <v>704</v>
      </c>
    </row>
    <row r="15" customFormat="false" ht="15" hidden="false" customHeight="true" outlineLevel="0" collapsed="false">
      <c r="A15" s="23" t="n">
        <v>14</v>
      </c>
      <c r="B15" s="27" t="s">
        <v>172</v>
      </c>
      <c r="C15" s="25" t="s">
        <v>705</v>
      </c>
      <c r="D15" s="25" t="s">
        <v>716</v>
      </c>
      <c r="E15" s="25" t="s">
        <v>707</v>
      </c>
    </row>
    <row r="16" customFormat="false" ht="23.25" hidden="false" customHeight="true" outlineLevel="0" collapsed="false">
      <c r="A16" s="23" t="n">
        <v>15</v>
      </c>
      <c r="B16" s="27" t="s">
        <v>180</v>
      </c>
      <c r="C16" s="25" t="s">
        <v>702</v>
      </c>
      <c r="D16" s="25" t="s">
        <v>717</v>
      </c>
      <c r="E16" s="25" t="s">
        <v>704</v>
      </c>
    </row>
    <row r="17" customFormat="false" ht="23.25" hidden="false" customHeight="true" outlineLevel="0" collapsed="false">
      <c r="A17" s="23" t="n">
        <v>16</v>
      </c>
      <c r="B17" s="27" t="s">
        <v>181</v>
      </c>
      <c r="C17" s="25" t="s">
        <v>705</v>
      </c>
      <c r="D17" s="25" t="s">
        <v>717</v>
      </c>
      <c r="E17" s="25" t="s">
        <v>707</v>
      </c>
    </row>
    <row r="18" customFormat="false" ht="15" hidden="false" customHeight="true" outlineLevel="0" collapsed="false">
      <c r="A18" s="23" t="n">
        <v>17</v>
      </c>
      <c r="B18" s="27" t="s">
        <v>189</v>
      </c>
      <c r="C18" s="25" t="s">
        <v>702</v>
      </c>
      <c r="D18" s="25" t="s">
        <v>718</v>
      </c>
      <c r="E18" s="25" t="s">
        <v>704</v>
      </c>
    </row>
    <row r="19" customFormat="false" ht="15" hidden="false" customHeight="true" outlineLevel="0" collapsed="false">
      <c r="A19" s="23" t="n">
        <v>18</v>
      </c>
      <c r="B19" s="27" t="s">
        <v>190</v>
      </c>
      <c r="C19" s="25" t="s">
        <v>705</v>
      </c>
      <c r="D19" s="25" t="s">
        <v>718</v>
      </c>
      <c r="E19" s="25" t="s">
        <v>707</v>
      </c>
    </row>
    <row r="20" customFormat="false" ht="15" hidden="false" customHeight="true" outlineLevel="0" collapsed="false">
      <c r="A20" s="23" t="n">
        <v>19</v>
      </c>
      <c r="B20" s="27" t="s">
        <v>194</v>
      </c>
      <c r="C20" s="25" t="s">
        <v>702</v>
      </c>
      <c r="D20" s="25" t="s">
        <v>719</v>
      </c>
      <c r="E20" s="25" t="s">
        <v>704</v>
      </c>
    </row>
    <row r="21" customFormat="false" ht="15" hidden="false" customHeight="true" outlineLevel="0" collapsed="false">
      <c r="A21" s="23" t="n">
        <v>20</v>
      </c>
      <c r="B21" s="27" t="s">
        <v>195</v>
      </c>
      <c r="C21" s="25" t="s">
        <v>705</v>
      </c>
      <c r="D21" s="25" t="s">
        <v>719</v>
      </c>
      <c r="E21" s="25" t="s">
        <v>707</v>
      </c>
    </row>
    <row r="22" customFormat="false" ht="15" hidden="false" customHeight="true" outlineLevel="0" collapsed="false">
      <c r="A22" s="23" t="n">
        <v>21</v>
      </c>
      <c r="B22" s="27" t="s">
        <v>203</v>
      </c>
      <c r="C22" s="25" t="s">
        <v>702</v>
      </c>
      <c r="D22" s="25" t="s">
        <v>720</v>
      </c>
      <c r="E22" s="25" t="s">
        <v>704</v>
      </c>
    </row>
    <row r="23" customFormat="false" ht="15" hidden="false" customHeight="true" outlineLevel="0" collapsed="false">
      <c r="A23" s="23" t="n">
        <v>22</v>
      </c>
      <c r="B23" s="27" t="s">
        <v>204</v>
      </c>
      <c r="C23" s="25" t="s">
        <v>705</v>
      </c>
      <c r="D23" s="25" t="s">
        <v>720</v>
      </c>
      <c r="E23" s="25" t="s">
        <v>721</v>
      </c>
    </row>
    <row r="24" customFormat="false" ht="15" hidden="false" customHeight="true" outlineLevel="0" collapsed="false">
      <c r="A24" s="23" t="n">
        <v>23</v>
      </c>
      <c r="B24" s="27" t="s">
        <v>212</v>
      </c>
      <c r="C24" s="25" t="s">
        <v>722</v>
      </c>
      <c r="D24" s="25" t="s">
        <v>723</v>
      </c>
      <c r="E24" s="25" t="s">
        <v>724</v>
      </c>
    </row>
    <row r="25" customFormat="false" ht="15" hidden="false" customHeight="true" outlineLevel="0" collapsed="false">
      <c r="A25" s="23" t="n">
        <v>24</v>
      </c>
      <c r="B25" s="27" t="s">
        <v>213</v>
      </c>
      <c r="C25" s="25" t="s">
        <v>705</v>
      </c>
      <c r="D25" s="25" t="s">
        <v>723</v>
      </c>
      <c r="E25" s="25" t="s">
        <v>725</v>
      </c>
    </row>
    <row r="26" customFormat="false" ht="15" hidden="false" customHeight="true" outlineLevel="0" collapsed="false">
      <c r="A26" s="23" t="n">
        <v>25</v>
      </c>
      <c r="B26" s="27" t="s">
        <v>219</v>
      </c>
      <c r="C26" s="25" t="s">
        <v>702</v>
      </c>
      <c r="D26" s="25" t="s">
        <v>726</v>
      </c>
      <c r="E26" s="25" t="s">
        <v>704</v>
      </c>
    </row>
    <row r="27" customFormat="false" ht="23.25" hidden="false" customHeight="true" outlineLevel="0" collapsed="false">
      <c r="A27" s="23" t="n">
        <v>26</v>
      </c>
      <c r="B27" s="27" t="s">
        <v>227</v>
      </c>
      <c r="C27" s="25" t="s">
        <v>702</v>
      </c>
      <c r="D27" s="25" t="s">
        <v>727</v>
      </c>
      <c r="E27" s="25" t="s">
        <v>704</v>
      </c>
    </row>
    <row r="28" customFormat="false" ht="23.25" hidden="false" customHeight="true" outlineLevel="0" collapsed="false">
      <c r="A28" s="23" t="n">
        <v>27</v>
      </c>
      <c r="B28" s="27" t="s">
        <v>228</v>
      </c>
      <c r="C28" s="25" t="s">
        <v>705</v>
      </c>
      <c r="D28" s="25" t="s">
        <v>727</v>
      </c>
      <c r="E28" s="25" t="s">
        <v>707</v>
      </c>
    </row>
    <row r="29" customFormat="false" ht="15" hidden="false" customHeight="true" outlineLevel="0" collapsed="false">
      <c r="A29" s="23" t="n">
        <v>28</v>
      </c>
      <c r="B29" s="27" t="s">
        <v>233</v>
      </c>
      <c r="C29" s="25" t="s">
        <v>702</v>
      </c>
      <c r="D29" s="25" t="s">
        <v>728</v>
      </c>
      <c r="E29" s="25" t="s">
        <v>704</v>
      </c>
    </row>
    <row r="30" customFormat="false" ht="15" hidden="false" customHeight="true" outlineLevel="0" collapsed="false">
      <c r="A30" s="23" t="n">
        <v>29</v>
      </c>
      <c r="B30" s="27" t="s">
        <v>234</v>
      </c>
      <c r="C30" s="25" t="s">
        <v>705</v>
      </c>
      <c r="D30" s="25" t="s">
        <v>728</v>
      </c>
      <c r="E30" s="25" t="s">
        <v>710</v>
      </c>
    </row>
    <row r="31" customFormat="false" ht="15" hidden="false" customHeight="true" outlineLevel="0" collapsed="false">
      <c r="A31" s="23" t="n">
        <v>30</v>
      </c>
      <c r="B31" s="27" t="s">
        <v>241</v>
      </c>
      <c r="C31" s="25" t="s">
        <v>702</v>
      </c>
      <c r="D31" s="25" t="s">
        <v>729</v>
      </c>
      <c r="E31" s="25" t="s">
        <v>704</v>
      </c>
    </row>
    <row r="32" customFormat="false" ht="15" hidden="false" customHeight="true" outlineLevel="0" collapsed="false">
      <c r="A32" s="23" t="n">
        <v>31</v>
      </c>
      <c r="B32" s="27" t="s">
        <v>248</v>
      </c>
      <c r="C32" s="25" t="s">
        <v>702</v>
      </c>
      <c r="D32" s="25" t="s">
        <v>730</v>
      </c>
      <c r="E32" s="25" t="s">
        <v>704</v>
      </c>
    </row>
    <row r="33" customFormat="false" ht="15" hidden="false" customHeight="true" outlineLevel="0" collapsed="false">
      <c r="A33" s="23" t="n">
        <v>32</v>
      </c>
      <c r="B33" s="27" t="s">
        <v>254</v>
      </c>
      <c r="C33" s="25" t="s">
        <v>702</v>
      </c>
      <c r="D33" s="25" t="s">
        <v>731</v>
      </c>
      <c r="E33" s="25" t="s">
        <v>704</v>
      </c>
    </row>
    <row r="34" customFormat="false" ht="15" hidden="false" customHeight="true" outlineLevel="0" collapsed="false">
      <c r="A34" s="23" t="n">
        <v>33</v>
      </c>
      <c r="B34" s="27" t="s">
        <v>255</v>
      </c>
      <c r="C34" s="25" t="s">
        <v>705</v>
      </c>
      <c r="D34" s="25" t="s">
        <v>731</v>
      </c>
      <c r="E34" s="25" t="s">
        <v>707</v>
      </c>
    </row>
    <row r="35" customFormat="false" ht="23.25" hidden="false" customHeight="true" outlineLevel="0" collapsed="false">
      <c r="A35" s="23" t="n">
        <v>34</v>
      </c>
      <c r="B35" s="27" t="s">
        <v>261</v>
      </c>
      <c r="C35" s="25" t="s">
        <v>702</v>
      </c>
      <c r="D35" s="25" t="s">
        <v>732</v>
      </c>
      <c r="E35" s="25" t="s">
        <v>704</v>
      </c>
    </row>
    <row r="36" customFormat="false" ht="23.25" hidden="false" customHeight="true" outlineLevel="0" collapsed="false">
      <c r="A36" s="23" t="n">
        <v>35</v>
      </c>
      <c r="B36" s="27" t="s">
        <v>269</v>
      </c>
      <c r="C36" s="25" t="s">
        <v>702</v>
      </c>
      <c r="D36" s="25" t="s">
        <v>733</v>
      </c>
      <c r="E36" s="25" t="s">
        <v>704</v>
      </c>
    </row>
    <row r="37" customFormat="false" ht="15" hidden="false" customHeight="true" outlineLevel="0" collapsed="false">
      <c r="A37" s="23" t="n">
        <v>36</v>
      </c>
      <c r="B37" s="27" t="s">
        <v>279</v>
      </c>
      <c r="C37" s="25" t="s">
        <v>722</v>
      </c>
      <c r="D37" s="25" t="s">
        <v>734</v>
      </c>
      <c r="E37" s="25" t="s">
        <v>735</v>
      </c>
    </row>
    <row r="38" customFormat="false" ht="15" hidden="false" customHeight="true" outlineLevel="0" collapsed="false">
      <c r="A38" s="23" t="n">
        <v>37</v>
      </c>
      <c r="B38" s="27" t="s">
        <v>280</v>
      </c>
      <c r="C38" s="25" t="s">
        <v>705</v>
      </c>
      <c r="D38" s="25" t="s">
        <v>734</v>
      </c>
      <c r="E38" s="25" t="s">
        <v>736</v>
      </c>
    </row>
    <row r="39" customFormat="false" ht="23.25" hidden="false" customHeight="true" outlineLevel="0" collapsed="false">
      <c r="A39" s="23" t="n">
        <v>38</v>
      </c>
      <c r="B39" s="27" t="s">
        <v>288</v>
      </c>
      <c r="C39" s="25" t="s">
        <v>702</v>
      </c>
      <c r="D39" s="25" t="s">
        <v>737</v>
      </c>
      <c r="E39" s="25" t="s">
        <v>704</v>
      </c>
    </row>
    <row r="40" customFormat="false" ht="15" hidden="false" customHeight="true" outlineLevel="0" collapsed="false">
      <c r="A40" s="23" t="n">
        <v>39</v>
      </c>
      <c r="B40" s="27" t="s">
        <v>297</v>
      </c>
      <c r="C40" s="25" t="s">
        <v>705</v>
      </c>
      <c r="D40" s="25" t="s">
        <v>738</v>
      </c>
      <c r="E40" s="25" t="s">
        <v>739</v>
      </c>
    </row>
    <row r="41" customFormat="false" ht="15" hidden="false" customHeight="true" outlineLevel="0" collapsed="false">
      <c r="A41" s="23" t="n">
        <v>40</v>
      </c>
      <c r="B41" s="27" t="s">
        <v>305</v>
      </c>
      <c r="C41" s="25" t="s">
        <v>740</v>
      </c>
      <c r="D41" s="25" t="s">
        <v>741</v>
      </c>
      <c r="E41" s="25" t="s">
        <v>742</v>
      </c>
    </row>
    <row r="42" customFormat="false" ht="15" hidden="false" customHeight="true" outlineLevel="0" collapsed="false">
      <c r="A42" s="23" t="n">
        <v>41</v>
      </c>
      <c r="B42" s="27" t="s">
        <v>311</v>
      </c>
      <c r="C42" s="25" t="s">
        <v>702</v>
      </c>
      <c r="D42" s="25" t="s">
        <v>743</v>
      </c>
      <c r="E42" s="25" t="s">
        <v>704</v>
      </c>
    </row>
    <row r="43" customFormat="false" ht="15" hidden="false" customHeight="true" outlineLevel="0" collapsed="false">
      <c r="A43" s="23" t="n">
        <v>42</v>
      </c>
      <c r="B43" s="27" t="s">
        <v>319</v>
      </c>
      <c r="C43" s="25" t="s">
        <v>722</v>
      </c>
      <c r="D43" s="25" t="s">
        <v>744</v>
      </c>
      <c r="E43" s="25" t="s">
        <v>724</v>
      </c>
    </row>
    <row r="44" customFormat="false" ht="15" hidden="false" customHeight="true" outlineLevel="0" collapsed="false">
      <c r="A44" s="23" t="n">
        <v>43</v>
      </c>
      <c r="B44" s="27" t="s">
        <v>320</v>
      </c>
      <c r="C44" s="25" t="s">
        <v>745</v>
      </c>
      <c r="D44" s="25" t="s">
        <v>744</v>
      </c>
      <c r="E44" s="25" t="s">
        <v>746</v>
      </c>
    </row>
    <row r="45" customFormat="false" ht="15" hidden="false" customHeight="true" outlineLevel="0" collapsed="false">
      <c r="A45" s="23" t="n">
        <v>44</v>
      </c>
      <c r="B45" s="27" t="s">
        <v>330</v>
      </c>
      <c r="C45" s="25" t="s">
        <v>722</v>
      </c>
      <c r="D45" s="25" t="s">
        <v>747</v>
      </c>
      <c r="E45" s="25" t="s">
        <v>724</v>
      </c>
    </row>
    <row r="46" customFormat="false" ht="15" hidden="false" customHeight="true" outlineLevel="0" collapsed="false">
      <c r="A46" s="23" t="n">
        <v>45</v>
      </c>
      <c r="B46" s="27" t="s">
        <v>331</v>
      </c>
      <c r="C46" s="25" t="s">
        <v>705</v>
      </c>
      <c r="D46" s="25" t="s">
        <v>747</v>
      </c>
      <c r="E46" s="25" t="s">
        <v>736</v>
      </c>
    </row>
    <row r="47" customFormat="false" ht="15" hidden="false" customHeight="true" outlineLevel="0" collapsed="false">
      <c r="A47" s="23" t="n">
        <v>46</v>
      </c>
      <c r="B47" s="27" t="s">
        <v>339</v>
      </c>
      <c r="C47" s="25" t="s">
        <v>702</v>
      </c>
      <c r="D47" s="25" t="s">
        <v>748</v>
      </c>
      <c r="E47" s="25" t="s">
        <v>704</v>
      </c>
    </row>
    <row r="48" customFormat="false" ht="15" hidden="false" customHeight="true" outlineLevel="0" collapsed="false">
      <c r="A48" s="23" t="n">
        <v>47</v>
      </c>
      <c r="B48" s="27" t="s">
        <v>344</v>
      </c>
      <c r="C48" s="25" t="s">
        <v>740</v>
      </c>
      <c r="D48" s="25" t="s">
        <v>749</v>
      </c>
      <c r="E48" s="25" t="s">
        <v>742</v>
      </c>
    </row>
    <row r="49" customFormat="false" ht="15" hidden="false" customHeight="true" outlineLevel="0" collapsed="false">
      <c r="A49" s="23" t="n">
        <v>48</v>
      </c>
      <c r="B49" s="27" t="s">
        <v>345</v>
      </c>
      <c r="C49" s="25" t="s">
        <v>705</v>
      </c>
      <c r="D49" s="25" t="s">
        <v>749</v>
      </c>
      <c r="E49" s="25" t="s">
        <v>710</v>
      </c>
    </row>
    <row r="50" customFormat="false" ht="15" hidden="false" customHeight="true" outlineLevel="0" collapsed="false">
      <c r="A50" s="23" t="n">
        <v>49</v>
      </c>
      <c r="B50" s="27" t="s">
        <v>351</v>
      </c>
      <c r="C50" s="25" t="s">
        <v>705</v>
      </c>
      <c r="D50" s="25" t="s">
        <v>750</v>
      </c>
      <c r="E50" s="25" t="s">
        <v>751</v>
      </c>
    </row>
    <row r="51" customFormat="false" ht="15" hidden="false" customHeight="true" outlineLevel="0" collapsed="false">
      <c r="A51" s="23" t="n">
        <v>50</v>
      </c>
      <c r="B51" s="27" t="s">
        <v>356</v>
      </c>
      <c r="C51" s="25" t="s">
        <v>740</v>
      </c>
      <c r="D51" s="25" t="s">
        <v>752</v>
      </c>
      <c r="E51" s="25" t="s">
        <v>742</v>
      </c>
    </row>
    <row r="52" customFormat="false" ht="23.25" hidden="false" customHeight="true" outlineLevel="0" collapsed="false">
      <c r="A52" s="23" t="n">
        <v>51</v>
      </c>
      <c r="B52" s="27" t="s">
        <v>602</v>
      </c>
      <c r="C52" s="25" t="s">
        <v>702</v>
      </c>
      <c r="D52" s="25" t="s">
        <v>753</v>
      </c>
      <c r="E52" s="25" t="s">
        <v>704</v>
      </c>
    </row>
    <row r="53" customFormat="false" ht="23.25" hidden="false" customHeight="true" outlineLevel="0" collapsed="false">
      <c r="A53" s="23" t="n">
        <v>52</v>
      </c>
      <c r="B53" s="27" t="s">
        <v>606</v>
      </c>
      <c r="C53" s="25" t="s">
        <v>702</v>
      </c>
      <c r="D53" s="25" t="s">
        <v>754</v>
      </c>
      <c r="E53" s="25" t="s">
        <v>704</v>
      </c>
    </row>
    <row r="54" customFormat="false" ht="23.25" hidden="false" customHeight="true" outlineLevel="0" collapsed="false">
      <c r="A54" s="23" t="n">
        <v>53</v>
      </c>
      <c r="B54" s="27" t="s">
        <v>610</v>
      </c>
      <c r="C54" s="25" t="s">
        <v>702</v>
      </c>
      <c r="D54" s="25" t="s">
        <v>755</v>
      </c>
      <c r="E54" s="25" t="s">
        <v>704</v>
      </c>
    </row>
    <row r="55" customFormat="false" ht="23.25" hidden="false" customHeight="true" outlineLevel="0" collapsed="false">
      <c r="A55" s="23" t="n">
        <v>54</v>
      </c>
      <c r="B55" s="27" t="s">
        <v>614</v>
      </c>
      <c r="C55" s="25" t="s">
        <v>702</v>
      </c>
      <c r="D55" s="25" t="s">
        <v>756</v>
      </c>
      <c r="E55" s="25" t="s">
        <v>704</v>
      </c>
    </row>
    <row r="56" customFormat="false" ht="15" hidden="false" customHeight="true" outlineLevel="0" collapsed="false">
      <c r="A56" s="23" t="n">
        <v>55</v>
      </c>
      <c r="B56" s="27" t="s">
        <v>618</v>
      </c>
      <c r="C56" s="25" t="s">
        <v>702</v>
      </c>
      <c r="D56" s="25" t="s">
        <v>757</v>
      </c>
      <c r="E56" s="25" t="s">
        <v>704</v>
      </c>
    </row>
    <row r="57" customFormat="false" ht="15" hidden="false" customHeight="true" outlineLevel="0" collapsed="false">
      <c r="A57" s="23" t="n">
        <v>56</v>
      </c>
      <c r="B57" s="27" t="s">
        <v>620</v>
      </c>
      <c r="C57" s="25" t="s">
        <v>702</v>
      </c>
      <c r="D57" s="25" t="s">
        <v>758</v>
      </c>
      <c r="E57" s="25" t="s">
        <v>704</v>
      </c>
    </row>
    <row r="58" customFormat="false" ht="15" hidden="false" customHeight="true" outlineLevel="0" collapsed="false">
      <c r="A58" s="23" t="n">
        <v>57</v>
      </c>
      <c r="B58" s="27" t="s">
        <v>623</v>
      </c>
      <c r="C58" s="25" t="s">
        <v>702</v>
      </c>
      <c r="D58" s="25" t="s">
        <v>759</v>
      </c>
      <c r="E58" s="25" t="s">
        <v>704</v>
      </c>
    </row>
    <row r="59" customFormat="false" ht="15" hidden="false" customHeight="true" outlineLevel="0" collapsed="false">
      <c r="A59" s="23" t="n">
        <v>58</v>
      </c>
      <c r="B59" s="27" t="s">
        <v>627</v>
      </c>
      <c r="C59" s="25" t="s">
        <v>702</v>
      </c>
      <c r="D59" s="25" t="s">
        <v>760</v>
      </c>
      <c r="E59" s="25" t="s">
        <v>704</v>
      </c>
    </row>
    <row r="60" customFormat="false" ht="23.25" hidden="false" customHeight="true" outlineLevel="0" collapsed="false">
      <c r="A60" s="23" t="n">
        <v>59</v>
      </c>
      <c r="B60" s="27" t="s">
        <v>629</v>
      </c>
      <c r="C60" s="25" t="s">
        <v>705</v>
      </c>
      <c r="D60" s="25" t="s">
        <v>761</v>
      </c>
      <c r="E60" s="25" t="s">
        <v>707</v>
      </c>
    </row>
    <row r="61" customFormat="false" ht="15" hidden="false" customHeight="true" outlineLevel="0" collapsed="false">
      <c r="A61" s="23" t="n">
        <v>60</v>
      </c>
      <c r="B61" s="27" t="s">
        <v>633</v>
      </c>
      <c r="C61" s="25" t="s">
        <v>702</v>
      </c>
      <c r="D61" s="25" t="s">
        <v>762</v>
      </c>
      <c r="E61" s="25" t="s">
        <v>704</v>
      </c>
    </row>
    <row r="62" customFormat="false" ht="23.25" hidden="false" customHeight="true" outlineLevel="0" collapsed="false">
      <c r="A62" s="23" t="n">
        <v>61</v>
      </c>
      <c r="B62" s="27" t="s">
        <v>637</v>
      </c>
      <c r="C62" s="25" t="s">
        <v>702</v>
      </c>
      <c r="D62" s="25" t="s">
        <v>763</v>
      </c>
      <c r="E62" s="25" t="s">
        <v>704</v>
      </c>
    </row>
    <row r="63" customFormat="false" ht="15" hidden="false" customHeight="true" outlineLevel="0" collapsed="false">
      <c r="A63" s="23" t="n">
        <v>62</v>
      </c>
      <c r="B63" s="27" t="s">
        <v>639</v>
      </c>
      <c r="C63" s="25" t="s">
        <v>702</v>
      </c>
      <c r="D63" s="25" t="s">
        <v>764</v>
      </c>
      <c r="E63" s="25" t="s">
        <v>704</v>
      </c>
    </row>
    <row r="64" customFormat="false" ht="23.25" hidden="false" customHeight="true" outlineLevel="0" collapsed="false">
      <c r="A64" s="23" t="n">
        <v>63</v>
      </c>
      <c r="B64" s="27" t="s">
        <v>642</v>
      </c>
      <c r="C64" s="25" t="s">
        <v>702</v>
      </c>
      <c r="D64" s="25" t="s">
        <v>765</v>
      </c>
      <c r="E64" s="25" t="s">
        <v>704</v>
      </c>
    </row>
    <row r="65" customFormat="false" ht="15" hidden="false" customHeight="true" outlineLevel="0" collapsed="false">
      <c r="A65" s="23" t="n">
        <v>64</v>
      </c>
      <c r="B65" s="27" t="s">
        <v>644</v>
      </c>
      <c r="C65" s="25" t="s">
        <v>702</v>
      </c>
      <c r="D65" s="25" t="s">
        <v>766</v>
      </c>
      <c r="E65" s="25" t="s">
        <v>704</v>
      </c>
    </row>
    <row r="66" customFormat="false" ht="15" hidden="false" customHeight="true" outlineLevel="0" collapsed="false">
      <c r="A66" s="23" t="n">
        <v>65</v>
      </c>
      <c r="B66" s="27" t="s">
        <v>646</v>
      </c>
      <c r="C66" s="25" t="s">
        <v>702</v>
      </c>
      <c r="D66" s="25" t="s">
        <v>767</v>
      </c>
      <c r="E66" s="25" t="s">
        <v>704</v>
      </c>
    </row>
    <row r="67" customFormat="false" ht="15" hidden="false" customHeight="true" outlineLevel="0" collapsed="false">
      <c r="A67" s="23" t="n">
        <v>66</v>
      </c>
      <c r="B67" s="27" t="s">
        <v>650</v>
      </c>
      <c r="C67" s="25" t="s">
        <v>702</v>
      </c>
      <c r="D67" s="25" t="s">
        <v>768</v>
      </c>
      <c r="E67" s="25" t="s">
        <v>704</v>
      </c>
    </row>
    <row r="68" customFormat="false" ht="23.25" hidden="false" customHeight="true" outlineLevel="0" collapsed="false">
      <c r="A68" s="23" t="n">
        <v>67</v>
      </c>
      <c r="B68" s="27" t="s">
        <v>652</v>
      </c>
      <c r="C68" s="25" t="s">
        <v>702</v>
      </c>
      <c r="D68" s="25" t="s">
        <v>769</v>
      </c>
      <c r="E68" s="25" t="s">
        <v>704</v>
      </c>
    </row>
    <row r="69" customFormat="false" ht="23.25" hidden="false" customHeight="true" outlineLevel="0" collapsed="false">
      <c r="A69" s="23" t="n">
        <v>68</v>
      </c>
      <c r="B69" s="27" t="s">
        <v>657</v>
      </c>
      <c r="C69" s="25" t="s">
        <v>702</v>
      </c>
      <c r="D69" s="25" t="s">
        <v>770</v>
      </c>
      <c r="E69" s="25" t="s">
        <v>704</v>
      </c>
    </row>
    <row r="70" customFormat="false" ht="15" hidden="false" customHeight="true" outlineLevel="0" collapsed="false">
      <c r="A70" s="23" t="n">
        <v>69</v>
      </c>
      <c r="B70" s="27" t="s">
        <v>659</v>
      </c>
      <c r="C70" s="25" t="s">
        <v>702</v>
      </c>
      <c r="D70" s="25" t="s">
        <v>771</v>
      </c>
      <c r="E70" s="25" t="s">
        <v>704</v>
      </c>
    </row>
    <row r="71" customFormat="false" ht="23.25" hidden="false" customHeight="true" outlineLevel="0" collapsed="false">
      <c r="A71" s="23" t="n">
        <v>70</v>
      </c>
      <c r="B71" s="27" t="s">
        <v>662</v>
      </c>
      <c r="C71" s="25" t="s">
        <v>705</v>
      </c>
      <c r="D71" s="25" t="s">
        <v>772</v>
      </c>
      <c r="E71" s="25" t="s">
        <v>707</v>
      </c>
    </row>
    <row r="72" customFormat="false" ht="23.25" hidden="false" customHeight="true" outlineLevel="0" collapsed="false">
      <c r="A72" s="23" t="n">
        <v>71</v>
      </c>
      <c r="B72" s="27" t="s">
        <v>666</v>
      </c>
      <c r="C72" s="25" t="s">
        <v>702</v>
      </c>
      <c r="D72" s="25" t="s">
        <v>773</v>
      </c>
      <c r="E72" s="25" t="s">
        <v>704</v>
      </c>
    </row>
    <row r="73" customFormat="false" ht="15" hidden="false" customHeight="true" outlineLevel="0" collapsed="false">
      <c r="A73" s="23" t="n">
        <v>72</v>
      </c>
      <c r="B73" s="27" t="s">
        <v>670</v>
      </c>
      <c r="C73" s="25" t="s">
        <v>740</v>
      </c>
      <c r="D73" s="25" t="s">
        <v>774</v>
      </c>
      <c r="E73" s="25" t="s">
        <v>742</v>
      </c>
    </row>
    <row r="74" customFormat="false" ht="23.25" hidden="false" customHeight="true" outlineLevel="0" collapsed="false">
      <c r="A74" s="23" t="n">
        <v>73</v>
      </c>
      <c r="B74" s="27" t="s">
        <v>674</v>
      </c>
      <c r="C74" s="25" t="s">
        <v>702</v>
      </c>
      <c r="D74" s="25" t="s">
        <v>775</v>
      </c>
      <c r="E74" s="25" t="s">
        <v>704</v>
      </c>
    </row>
    <row r="75" customFormat="false" ht="23.25" hidden="false" customHeight="true" outlineLevel="0" collapsed="false">
      <c r="A75" s="23" t="n">
        <v>74</v>
      </c>
      <c r="B75" s="27" t="s">
        <v>677</v>
      </c>
      <c r="C75" s="25" t="s">
        <v>702</v>
      </c>
      <c r="D75" s="25" t="s">
        <v>776</v>
      </c>
      <c r="E75" s="25" t="s">
        <v>704</v>
      </c>
    </row>
    <row r="76" customFormat="false" ht="15" hidden="false" customHeight="true" outlineLevel="0" collapsed="false">
      <c r="A76" s="23" t="n">
        <v>75</v>
      </c>
      <c r="B76" s="27" t="s">
        <v>681</v>
      </c>
      <c r="C76" s="25" t="s">
        <v>705</v>
      </c>
      <c r="D76" s="25" t="s">
        <v>777</v>
      </c>
      <c r="E76" s="25" t="s">
        <v>707</v>
      </c>
    </row>
    <row r="77" customFormat="false" ht="23.25" hidden="false" customHeight="true" outlineLevel="0" collapsed="false">
      <c r="A77" s="23" t="n">
        <v>76</v>
      </c>
      <c r="B77" s="27" t="s">
        <v>683</v>
      </c>
      <c r="C77" s="25" t="s">
        <v>702</v>
      </c>
      <c r="D77" s="25" t="s">
        <v>778</v>
      </c>
      <c r="E77" s="25" t="s">
        <v>704</v>
      </c>
    </row>
    <row r="78" customFormat="false" ht="23.25" hidden="false" customHeight="true" outlineLevel="0" collapsed="false">
      <c r="A78" s="23" t="n">
        <v>77</v>
      </c>
      <c r="B78" s="27" t="s">
        <v>688</v>
      </c>
      <c r="C78" s="25" t="s">
        <v>705</v>
      </c>
      <c r="D78" s="25" t="s">
        <v>779</v>
      </c>
      <c r="E78" s="25" t="s">
        <v>780</v>
      </c>
    </row>
    <row r="79" customFormat="false" ht="23.25" hidden="false" customHeight="true" outlineLevel="0" collapsed="false">
      <c r="A79" s="23" t="n">
        <v>78</v>
      </c>
      <c r="B79" s="27" t="s">
        <v>691</v>
      </c>
      <c r="C79" s="25" t="s">
        <v>705</v>
      </c>
      <c r="D79" s="25" t="s">
        <v>781</v>
      </c>
      <c r="E79" s="25" t="s">
        <v>707</v>
      </c>
    </row>
    <row r="80" customFormat="false" ht="23.25" hidden="false" customHeight="true" outlineLevel="0" collapsed="false">
      <c r="A80" s="23" t="n">
        <v>79</v>
      </c>
      <c r="B80" s="27" t="s">
        <v>695</v>
      </c>
      <c r="C80" s="25" t="s">
        <v>782</v>
      </c>
      <c r="D80" s="25" t="s">
        <v>783</v>
      </c>
      <c r="E80" s="25" t="s">
        <v>784</v>
      </c>
    </row>
    <row r="81" customFormat="false" ht="15" hidden="false" customHeight="true" outlineLevel="0" collapsed="false">
      <c r="A81" s="23" t="n">
        <v>80</v>
      </c>
      <c r="B81" s="27" t="s">
        <v>785</v>
      </c>
      <c r="C81" s="25" t="s">
        <v>740</v>
      </c>
      <c r="D81" s="25" t="s">
        <v>786</v>
      </c>
      <c r="E81" s="25" t="s">
        <v>742</v>
      </c>
    </row>
    <row r="82" customFormat="false" ht="15" hidden="false" customHeight="true" outlineLevel="0" collapsed="false">
      <c r="A82" s="23" t="n">
        <v>81</v>
      </c>
      <c r="B82" s="27" t="s">
        <v>787</v>
      </c>
      <c r="C82" s="25" t="s">
        <v>745</v>
      </c>
      <c r="D82" s="25" t="s">
        <v>788</v>
      </c>
      <c r="E82" s="25" t="s">
        <v>746</v>
      </c>
    </row>
    <row r="83" customFormat="false" ht="23.25" hidden="false" customHeight="true" outlineLevel="0" collapsed="false">
      <c r="A83" s="23" t="n">
        <v>82</v>
      </c>
      <c r="B83" s="27" t="s">
        <v>789</v>
      </c>
      <c r="C83" s="25" t="s">
        <v>782</v>
      </c>
      <c r="D83" s="25" t="s">
        <v>790</v>
      </c>
      <c r="E83" s="25" t="s">
        <v>784</v>
      </c>
    </row>
    <row r="84" customFormat="false" ht="15" hidden="false" customHeight="true" outlineLevel="0" collapsed="false">
      <c r="A84" s="23" t="n">
        <v>83</v>
      </c>
      <c r="B84" s="27" t="s">
        <v>791</v>
      </c>
      <c r="C84" s="25" t="s">
        <v>702</v>
      </c>
      <c r="D84" s="25" t="s">
        <v>792</v>
      </c>
      <c r="E84" s="25" t="s">
        <v>704</v>
      </c>
    </row>
    <row r="85" customFormat="false" ht="23.25" hidden="false" customHeight="true" outlineLevel="0" collapsed="false">
      <c r="A85" s="23" t="n">
        <v>84</v>
      </c>
      <c r="B85" s="27" t="s">
        <v>388</v>
      </c>
      <c r="C85" s="25" t="s">
        <v>793</v>
      </c>
      <c r="D85" s="25" t="s">
        <v>794</v>
      </c>
      <c r="E85" s="25" t="s">
        <v>795</v>
      </c>
    </row>
    <row r="86" customFormat="false" ht="23.25" hidden="false" customHeight="true" outlineLevel="0" collapsed="false">
      <c r="A86" s="23" t="n">
        <v>85</v>
      </c>
      <c r="B86" s="27" t="s">
        <v>389</v>
      </c>
      <c r="C86" s="25" t="s">
        <v>793</v>
      </c>
      <c r="D86" s="25" t="s">
        <v>794</v>
      </c>
      <c r="E86" s="25" t="s">
        <v>795</v>
      </c>
    </row>
    <row r="87" customFormat="false" ht="23.25" hidden="false" customHeight="true" outlineLevel="0" collapsed="false">
      <c r="A87" s="23" t="n">
        <v>86</v>
      </c>
      <c r="B87" s="27" t="s">
        <v>406</v>
      </c>
      <c r="C87" s="25" t="s">
        <v>793</v>
      </c>
      <c r="D87" s="25" t="s">
        <v>796</v>
      </c>
      <c r="E87" s="25" t="s">
        <v>797</v>
      </c>
    </row>
    <row r="88" customFormat="false" ht="23.25" hidden="false" customHeight="true" outlineLevel="0" collapsed="false">
      <c r="A88" s="23" t="n">
        <v>87</v>
      </c>
      <c r="B88" s="27" t="s">
        <v>418</v>
      </c>
      <c r="C88" s="25" t="s">
        <v>793</v>
      </c>
      <c r="D88" s="25" t="s">
        <v>798</v>
      </c>
      <c r="E88" s="25" t="s">
        <v>797</v>
      </c>
    </row>
    <row r="89" customFormat="false" ht="15" hidden="false" customHeight="true" outlineLevel="0" collapsed="false">
      <c r="A89" s="23" t="n">
        <v>88</v>
      </c>
      <c r="B89" s="27" t="s">
        <v>431</v>
      </c>
      <c r="C89" s="25" t="s">
        <v>793</v>
      </c>
      <c r="D89" s="25" t="s">
        <v>799</v>
      </c>
      <c r="E89" s="25" t="s">
        <v>800</v>
      </c>
    </row>
    <row r="90" customFormat="false" ht="15" hidden="false" customHeight="true" outlineLevel="0" collapsed="false">
      <c r="A90" s="23" t="n">
        <v>89</v>
      </c>
      <c r="B90" s="27" t="s">
        <v>432</v>
      </c>
      <c r="C90" s="25" t="s">
        <v>793</v>
      </c>
      <c r="D90" s="25" t="s">
        <v>799</v>
      </c>
      <c r="E90" s="25" t="s">
        <v>800</v>
      </c>
    </row>
    <row r="91" customFormat="false" ht="23.25" hidden="false" customHeight="true" outlineLevel="0" collapsed="false">
      <c r="A91" s="23" t="n">
        <v>90</v>
      </c>
      <c r="B91" s="27" t="s">
        <v>447</v>
      </c>
      <c r="C91" s="25" t="s">
        <v>793</v>
      </c>
      <c r="D91" s="25" t="s">
        <v>801</v>
      </c>
      <c r="E91" s="25" t="s">
        <v>802</v>
      </c>
    </row>
    <row r="92" customFormat="false" ht="23.25" hidden="false" customHeight="true" outlineLevel="0" collapsed="false">
      <c r="A92" s="23" t="n">
        <v>91</v>
      </c>
      <c r="B92" s="27" t="s">
        <v>448</v>
      </c>
      <c r="C92" s="25" t="s">
        <v>793</v>
      </c>
      <c r="D92" s="25" t="s">
        <v>801</v>
      </c>
      <c r="E92" s="25" t="s">
        <v>724</v>
      </c>
    </row>
    <row r="93" customFormat="false" ht="15" hidden="false" customHeight="true" outlineLevel="0" collapsed="false">
      <c r="A93" s="23" t="n">
        <v>92</v>
      </c>
      <c r="B93" s="27" t="s">
        <v>462</v>
      </c>
      <c r="C93" s="25" t="s">
        <v>793</v>
      </c>
      <c r="D93" s="25" t="s">
        <v>803</v>
      </c>
      <c r="E93" s="25" t="s">
        <v>804</v>
      </c>
    </row>
    <row r="94" customFormat="false" ht="15" hidden="false" customHeight="true" outlineLevel="0" collapsed="false">
      <c r="A94" s="23" t="n">
        <v>93</v>
      </c>
      <c r="B94" s="27" t="s">
        <v>463</v>
      </c>
      <c r="C94" s="25" t="s">
        <v>793</v>
      </c>
      <c r="D94" s="25" t="s">
        <v>803</v>
      </c>
      <c r="E94" s="25" t="s">
        <v>805</v>
      </c>
    </row>
    <row r="95" customFormat="false" ht="23.25" hidden="false" customHeight="true" outlineLevel="0" collapsed="false">
      <c r="A95" s="23" t="n">
        <v>94</v>
      </c>
      <c r="B95" s="27" t="s">
        <v>477</v>
      </c>
      <c r="C95" s="25" t="s">
        <v>793</v>
      </c>
      <c r="D95" s="25" t="s">
        <v>806</v>
      </c>
      <c r="E95" s="25" t="s">
        <v>807</v>
      </c>
    </row>
    <row r="96" customFormat="false" ht="23.25" hidden="false" customHeight="true" outlineLevel="0" collapsed="false">
      <c r="A96" s="23" t="n">
        <v>95</v>
      </c>
      <c r="B96" s="27" t="s">
        <v>490</v>
      </c>
      <c r="C96" s="25" t="s">
        <v>793</v>
      </c>
      <c r="D96" s="25" t="s">
        <v>808</v>
      </c>
      <c r="E96" s="25" t="s">
        <v>797</v>
      </c>
    </row>
    <row r="97" customFormat="false" ht="15" hidden="false" customHeight="true" outlineLevel="0" collapsed="false">
      <c r="A97" s="23" t="n">
        <v>96</v>
      </c>
      <c r="B97" s="27" t="s">
        <v>500</v>
      </c>
      <c r="C97" s="25" t="s">
        <v>793</v>
      </c>
      <c r="D97" s="25" t="s">
        <v>809</v>
      </c>
      <c r="E97" s="25" t="s">
        <v>797</v>
      </c>
    </row>
    <row r="98" customFormat="false" ht="15" hidden="false" customHeight="true" outlineLevel="0" collapsed="false">
      <c r="A98" s="23" t="n">
        <v>97</v>
      </c>
      <c r="B98" s="27" t="s">
        <v>513</v>
      </c>
      <c r="C98" s="25" t="s">
        <v>793</v>
      </c>
      <c r="D98" s="25" t="s">
        <v>810</v>
      </c>
      <c r="E98" s="25" t="s">
        <v>797</v>
      </c>
    </row>
    <row r="99" customFormat="false" ht="23.25" hidden="false" customHeight="true" outlineLevel="0" collapsed="false">
      <c r="A99" s="23" t="n">
        <v>98</v>
      </c>
      <c r="B99" s="27" t="s">
        <v>539</v>
      </c>
      <c r="C99" s="25" t="s">
        <v>793</v>
      </c>
      <c r="D99" s="25" t="s">
        <v>811</v>
      </c>
      <c r="E99" s="25" t="s">
        <v>812</v>
      </c>
    </row>
    <row r="100" customFormat="false" ht="23.25" hidden="false" customHeight="true" outlineLevel="0" collapsed="false">
      <c r="A100" s="23" t="n">
        <v>99</v>
      </c>
      <c r="B100" s="27" t="s">
        <v>551</v>
      </c>
      <c r="C100" s="25" t="s">
        <v>793</v>
      </c>
      <c r="D100" s="25" t="s">
        <v>813</v>
      </c>
      <c r="E100" s="25" t="s">
        <v>814</v>
      </c>
    </row>
    <row r="101" customFormat="false" ht="23.25" hidden="false" customHeight="true" outlineLevel="0" collapsed="false">
      <c r="A101" s="23" t="n">
        <v>100</v>
      </c>
      <c r="B101" s="27" t="s">
        <v>552</v>
      </c>
      <c r="C101" s="25" t="s">
        <v>793</v>
      </c>
      <c r="D101" s="25" t="s">
        <v>813</v>
      </c>
      <c r="E101" s="25" t="s">
        <v>815</v>
      </c>
    </row>
  </sheetData>
  <autoFilter ref="A1:E101"/>
  <hyperlinks>
    <hyperlink ref="B2" r:id="rId1" display="https://data.mendeley.com/datasets/tf9dtfz9m6/3"/>
    <hyperlink ref="B3" r:id="rId2" display="https://pmc.ncbi.nlm.nih.gov/articles/PMC11170091/"/>
    <hyperlink ref="B4" r:id="rId3" display="https://data.mendeley.com/datasets/7nxxn4gj5s/3"/>
    <hyperlink ref="B5" r:id="rId4" display="https://data.mendeley.com/datasets/94fzcdz8gz/1"/>
    <hyperlink ref="B6" r:id="rId5" display="https://www.sciencedirect.com/science/article/pii/S2352340925009722"/>
    <hyperlink ref="B7" r:id="rId6" display="https://data.mendeley.com/datasets/hkbgh5s3b7/1"/>
    <hyperlink ref="B8" r:id="rId7" display="https://www.sciencedirect.com/science/article/pii/S2352340925002495"/>
    <hyperlink ref="B9" r:id="rId8" display="https://data.mendeley.com/datasets/w2r855hpx8/2"/>
    <hyperlink ref="B10" r:id="rId9" display="https://pmc.ncbi.nlm.nih.gov/articles/PMC10415694/"/>
    <hyperlink ref="B11" r:id="rId10" display="https://data.mendeley.com/datasets/9m2dcb5mmr/3"/>
    <hyperlink ref="B12" r:id="rId11" display="https://data.mendeley.com/datasets/8nnd2ypcv3/1"/>
    <hyperlink ref="B13" r:id="rId12" display="https://data.mendeley.com/datasets/6243z8r6t6/1"/>
    <hyperlink ref="B14" r:id="rId13" display="https://data.mendeley.com/datasets/x6x5jkk873/2"/>
    <hyperlink ref="B15" r:id="rId14" display="https://pmc.ncbi.nlm.nih.gov/articles/PMC11327543/"/>
    <hyperlink ref="B16" r:id="rId15" display="https://data.mendeley.com/datasets/22p2vcbxfk/3"/>
    <hyperlink ref="B17" r:id="rId16" display="https://pmc.ncbi.nlm.nih.gov/articles/PMC10293989/"/>
    <hyperlink ref="B18" r:id="rId17" display="https://data.mendeley.com/datasets/zfcv9fmrgv/3"/>
    <hyperlink ref="B19" r:id="rId18" display="https://pmc.ncbi.nlm.nih.gov/articles/PMC9679724/"/>
    <hyperlink ref="B20" r:id="rId19" display="https://data.mendeley.com/datasets/z55yrbmn2d/3"/>
    <hyperlink ref="B21" r:id="rId20" display="https://pmc.ncbi.nlm.nih.gov/articles/PMC11847223/"/>
    <hyperlink ref="B22" r:id="rId21" display="https://data.mendeley.com/datasets/nh7zk4hv8z/1"/>
    <hyperlink ref="B23" r:id="rId22" display="https://pubmed.ncbi.nlm.nih.gov/40687361/"/>
    <hyperlink ref="B24" r:id="rId23" display="https://github.com/mamta-joshi-gehlot/Tomato-Village"/>
    <hyperlink ref="B25" r:id="rId24" display="https://link.springer.com/article/10.1007/s00530-023-01158-y"/>
    <hyperlink ref="B26" r:id="rId25" display="https://data.mendeley.com/datasets/74jsdxtmx2/1"/>
    <hyperlink ref="B27" r:id="rId26" display="https://data.mendeley.com/datasets/t9hgvk2h9p/1"/>
    <hyperlink ref="B28" r:id="rId27" display="https://pmc.ncbi.nlm.nih.gov/articles/PMC12557508/"/>
    <hyperlink ref="B29" r:id="rId28" display="https://data.mendeley.com/datasets/b3jy2p6k8w/2"/>
    <hyperlink ref="B30" r:id="rId29" display="https://www.sciencedirect.com/science/article/pii/S235234092400876X"/>
    <hyperlink ref="B31" r:id="rId30" display="https://data.mendeley.com/datasets/tm3v4zmh7c/1"/>
    <hyperlink ref="B32" r:id="rId31" display="https://data.mendeley.com/datasets/7ghdbftp54/1"/>
    <hyperlink ref="B33" r:id="rId32" display="https://data.mendeley.com/datasets/hxsnvwty3r/1"/>
    <hyperlink ref="B34" r:id="rId33" display="https://pmc.ncbi.nlm.nih.gov/articles/PMC9932726/"/>
    <hyperlink ref="B35" r:id="rId34" display="https://data.mendeley.com/datasets/jtttfbx342/1"/>
    <hyperlink ref="B36" r:id="rId35" display="https://data.mendeley.com/datasets/hgshn2zg3t/1"/>
    <hyperlink ref="B37" r:id="rId36" display="https://paddydoc.github.io/dataset/"/>
    <hyperlink ref="B38" r:id="rId37" display="https://arxiv.org/abs/2205.11108"/>
    <hyperlink ref="B39" r:id="rId38" display="https://data.mendeley.com/datasets/9424skmnrk/1"/>
    <hyperlink ref="B40" r:id="rId39" display="https://jisem-journal.com/index.php/journal/article/view/2872"/>
    <hyperlink ref="B41" r:id="rId40" display="https://www.kaggle.com/datasets/tolgahayit/fusarium-wilt-disease-in-chickpea-dataset"/>
    <hyperlink ref="B42" r:id="rId41" display="https://data.mendeley.com/datasets/fgb3cmfrg2/1"/>
    <hyperlink ref="B43" r:id="rId42" display="https://github.com/BeenaPradeep/ARECANUT-DATASET"/>
    <hyperlink ref="B44" r:id="rId43" display="https://ieee-dataport.org/documents/arecanut-disease-detection-dataset-6-classes-field-images-karnataka-india"/>
    <hyperlink ref="B45" r:id="rId44" display="https://github.com/pratikkayal/PlantDoc-Dataset"/>
    <hyperlink ref="B46" r:id="rId45" display="https://arxiv.org/pdf/1911.10317"/>
    <hyperlink ref="B47" r:id="rId46" display="https://data.mendeley.com/datasets/rjykr62kdh/1"/>
    <hyperlink ref="B48" r:id="rId47" display="https://www.kaggle.com/datasets/nagabushan/coconut-tree-disease-dataset"/>
    <hyperlink ref="B49" r:id="rId48" display="https://www.sciencedirect.com/science/article/pii/S2352340923007692"/>
    <hyperlink ref="B50" r:id="rId49" display="https://iopscience.iop.org/article/10.1088/2515-7620/ad8415"/>
    <hyperlink ref="B51" r:id="rId50" display="https://www.kaggle.com/datasets/kamal01/top-agriculture-crop-disease"/>
    <hyperlink ref="B52" r:id="rId51" display="https://data.mendeley.com/datasets/wzc6r6w5w5/2"/>
    <hyperlink ref="B53" r:id="rId52" display="https://data.mendeley.com/datasets/w9mr3vf56s/1"/>
    <hyperlink ref="B54" r:id="rId53" display="https://data.mendeley.com/datasets/m4m6j2tjfj/2"/>
    <hyperlink ref="B55" r:id="rId54" display="https://data.mendeley.com/datasets/rnbsw72zb5/1"/>
    <hyperlink ref="B56" r:id="rId55" display="https://data.mendeley.com/datasets/kt64b2kh89/1"/>
    <hyperlink ref="B57" r:id="rId56" display="https://data.mendeley.com/datasets/rv3kxfv47y/1"/>
    <hyperlink ref="B58" r:id="rId57" display="https://data.mendeley.com/datasets/6k94t3fydy/1"/>
    <hyperlink ref="B59" r:id="rId58" display="https://data.mendeley.com/datasets/mn8vfr9bw2/2"/>
    <hyperlink ref="B60" r:id="rId59" display="https://pmc.ncbi.nlm.nih.gov/articles/PMC11870215/"/>
    <hyperlink ref="B61" r:id="rId60" display="https://data.mendeley.com/datasets/t5sssfgn2v/3"/>
    <hyperlink ref="B62" r:id="rId61" display="https://data.mendeley.com/datasets/x995snz7p3/1"/>
    <hyperlink ref="B63" r:id="rId62" display="https://data.mendeley.com/datasets/9tb7k297ff/1"/>
    <hyperlink ref="B64" r:id="rId63" display="https://data.mendeley.com/datasets/428ysdybvd/1"/>
    <hyperlink ref="B65" r:id="rId64" display="https://data.mendeley.com/datasets/sd8hzpg69b/3"/>
    <hyperlink ref="B66" r:id="rId65" display="https://data.mendeley.com/datasets/g46dvrcvwn/2"/>
    <hyperlink ref="B67" r:id="rId66" display="https://data.mendeley.com/datasets/vpzkntzjty/1"/>
    <hyperlink ref="B68" r:id="rId67" display="https://data.mendeley.com/datasets/jm378tjnrt/1"/>
    <hyperlink ref="B69" r:id="rId68" display="https://data.mendeley.com/datasets/rp2csdzxgr/1"/>
    <hyperlink ref="B70" r:id="rId69" display="https://data.mendeley.com/datasets/fspx44mwfp/1"/>
    <hyperlink ref="B71" r:id="rId70" display="https://pmc.ncbi.nlm.nih.gov/articles/PMC11220843/"/>
    <hyperlink ref="B72" r:id="rId71" display="https://data.mendeley.com/datasets/45djgf3p96/1"/>
    <hyperlink ref="B73" r:id="rId72" display="https://www.kaggle.com/datasets/manojgadde/yellow-vein-mosaic-disease"/>
    <hyperlink ref="B74" r:id="rId73" display="https://data.mendeley.com/datasets/m9nmyp7r6h/1"/>
    <hyperlink ref="B75" r:id="rId74" display="https://data.mendeley.com/datasets/b83hmrzth8/1"/>
    <hyperlink ref="B76" r:id="rId75" display="https://pmc.ncbi.nlm.nih.gov/articles/PMC11846420/"/>
    <hyperlink ref="B77" r:id="rId76" display="https://data.mendeley.com/datasets/6b2wxbs9cv/2"/>
    <hyperlink ref="B78" r:id="rId77" display="https://onlinelibrary.wiley.com/doi/10.1111/jph.70051"/>
    <hyperlink ref="B79" r:id="rId78" display="https://pmc.ncbi.nlm.nih.gov/articles/PMC12210286/"/>
    <hyperlink ref="B80" r:id="rId79" display="https://aikosh.indiaai.gov.in/home/datasets/details/cropic_dataset.html"/>
    <hyperlink ref="B81" r:id="rId80" display="https://www.kaggle.com/datasets/mamtag/tomato-village"/>
    <hyperlink ref="B82" r:id="rId81" display="https://ieee-dataport.org/documents/paddy-doctor-visual-image-dataset-automated-paddy-disease-classification-and-benchmarking"/>
    <hyperlink ref="B83" r:id="rId82" display="https://aikosh.indiaai.gov.in/"/>
    <hyperlink ref="B84" r:id="rId83" display="https://data.mendeley.com/datasets/gh56wbsnj5/1"/>
    <hyperlink ref="B85" r:id="rId84" display="https://open-meteo.com/en/terms"/>
    <hyperlink ref="B86" r:id="rId85" display="https://open-meteo.com/en/pricing"/>
    <hyperlink ref="B87" r:id="rId86" display="https://developers.google.com/earth-engine/datasets/catalog/ECMWF_ERA5_LAND_DAILY_AGGR"/>
    <hyperlink ref="B88" r:id="rId87" display="https://developers.google.com/earth-engine/datasets/catalog/UCSB-CHG_CHIRPS_DAILY"/>
    <hyperlink ref="B89" r:id="rId88" display="https://power.larc.nasa.gov/"/>
    <hyperlink ref="B90" r:id="rId89" display="https://power.larc.nasa.gov/docs/services/api/"/>
    <hyperlink ref="B91" r:id="rId90" display="https://imdlib.readthedocs.io/en/latest/Usage.html"/>
    <hyperlink ref="B92" r:id="rId91" display="https://github.com/iamsaswata/imdlib"/>
    <hyperlink ref="B93" r:id="rId92" display="https://docs.isric.org/globaldata/soilgrids/access_on_gee.html"/>
    <hyperlink ref="B94" r:id="rId93" display="https://www.isric.org/explore/soilgrids"/>
    <hyperlink ref="B95" r:id="rId94" display="https://www.soilhealth.dac.gov.in/nutrient-dashboard"/>
    <hyperlink ref="B96" r:id="rId95" display="https://developers.google.com/earth-engine/guides/noncommercial_tiers"/>
    <hyperlink ref="B97" r:id="rId96" display="https://developers.google.com/earth-engine/datasets/catalog/ESA_WorldCover_v200"/>
    <hyperlink ref="B98" r:id="rId97" display="https://developers.google.com/agricultural-understanding/understanding-data"/>
    <hyperlink ref="B99" r:id="rId98" display="https://agritech.tnau.ac.in/crop_protection/crop_prot.html"/>
    <hyperlink ref="B100" r:id="rId99" display="https://www.tandfonline.com/doi/abs/10.1080/09670874.2016.1210839"/>
    <hyperlink ref="B101" r:id="rId100" display="https://www.researchgate.net/publication/306045270_INDO-BLIGHTCAST_-_a_model_for_forecasting_late_blight_across_agroecologi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2026-09-25T17:57:02Z</dcterms:created>
  <dc:creator>openpyxl</dc:creator>
  <dc:description/>
  <dc:language>en-US</dc:language>
  <cp:lastModifiedBy/>
  <dcterms:modified xsi:type="dcterms:W3CDTF">2026-09-26T16:52:08Z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